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📅 Timeline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\$#,##0"/>
    <numFmt numFmtId="165" formatCode="\$#,##0.00"/>
    <numFmt numFmtId="166" formatCode="&quot;$+&quot;#,##0;[RED]&quot;($&quot;#,##0\)"/>
    <numFmt numFmtId="167" formatCode="0.0\x"/>
    <numFmt numFmtId="168" formatCode="0.0%"/>
  </numFmts>
  <fonts count="2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5"/>
    </font>
    <font>
      <name val="Calibri"/>
      <charset val="1"/>
      <family val="0"/>
      <b val="1"/>
      <color rgb="FF555555"/>
      <sz val="10"/>
    </font>
    <font>
      <name val="Calibri"/>
      <charset val="1"/>
      <family val="0"/>
      <b val="1"/>
      <color rgb="FF1F3A5F"/>
      <sz val="11"/>
    </font>
    <font>
      <name val="Calibri"/>
      <charset val="1"/>
      <family val="0"/>
      <b val="1"/>
      <color rgb="FFFFFFFF"/>
      <sz val="9"/>
    </font>
    <font>
      <name val="Calibri"/>
      <charset val="1"/>
      <family val="0"/>
      <b val="1"/>
      <color rgb="FF000000"/>
      <sz val="10"/>
    </font>
    <font>
      <name val="Calibri"/>
      <charset val="1"/>
      <family val="0"/>
      <b val="1"/>
      <color rgb="FF2E7D32"/>
      <sz val="14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sz val="10"/>
    </font>
    <font>
      <name val="Calibri"/>
      <charset val="1"/>
      <family val="0"/>
      <color rgb="FF000000"/>
      <sz val="10"/>
    </font>
    <font>
      <name val="Calibri"/>
      <charset val="1"/>
      <family val="0"/>
      <b val="1"/>
      <color rgb="FF2E7D32"/>
      <sz val="10"/>
    </font>
    <font>
      <name val="Calibri"/>
      <charset val="1"/>
      <family val="0"/>
      <color rgb="FF222222"/>
      <sz val="10"/>
    </font>
    <font>
      <name val="Calibri"/>
      <charset val="1"/>
      <family val="0"/>
      <b val="1"/>
      <color rgb="FF222222"/>
      <sz val="10"/>
    </font>
    <font>
      <name val="Calibri"/>
      <charset val="1"/>
      <family val="0"/>
      <b val="1"/>
      <color rgb="FFFFFFFF"/>
      <sz val="13"/>
    </font>
    <font>
      <name val="Calibri"/>
      <charset val="1"/>
      <family val="0"/>
      <i val="1"/>
      <color rgb="FF555555"/>
      <sz val="9"/>
    </font>
    <font>
      <name val="Calibri"/>
      <charset val="1"/>
      <family val="0"/>
      <sz val="10"/>
    </font>
    <font>
      <name val="Calibri"/>
      <charset val="1"/>
      <family val="0"/>
      <b val="1"/>
      <color rgb="FF0000FF"/>
      <sz val="11"/>
    </font>
    <font>
      <name val="Calibri"/>
      <charset val="1"/>
      <family val="0"/>
      <i val="1"/>
      <color rgb="FF666666"/>
      <sz val="9"/>
    </font>
    <font>
      <name val="Calibri"/>
      <charset val="1"/>
      <family val="0"/>
      <color rgb="FF000000"/>
      <sz val="11"/>
    </font>
    <font>
      <name val="Calibri"/>
      <charset val="1"/>
      <family val="0"/>
      <b val="1"/>
      <color rgb="FF1F3A5F"/>
      <sz val="10"/>
    </font>
    <font>
      <name val="Calibri"/>
      <charset val="1"/>
      <family val="0"/>
      <color rgb="FF0000FF"/>
      <sz val="10"/>
    </font>
    <font>
      <name val="Calibri"/>
      <charset val="1"/>
      <family val="0"/>
      <b val="1"/>
      <color rgb="FF0000FF"/>
      <sz val="10"/>
    </font>
    <font>
      <name val="Calibri"/>
      <charset val="1"/>
      <family val="0"/>
      <b val="1"/>
      <color rgb="FF2E7D32"/>
      <sz val="12"/>
    </font>
  </fonts>
  <fills count="24">
    <fill>
      <patternFill/>
    </fill>
    <fill>
      <patternFill patternType="gray125"/>
    </fill>
    <fill>
      <patternFill patternType="solid">
        <fgColor rgb="FF1F3A5F"/>
        <bgColor rgb="FF34495E"/>
      </patternFill>
    </fill>
    <fill>
      <patternFill patternType="solid">
        <fgColor rgb="FFC8E6C9"/>
        <bgColor rgb="FFD4EDDA"/>
      </patternFill>
    </fill>
    <fill>
      <patternFill patternType="solid">
        <fgColor rgb="FFECEFF1"/>
        <bgColor rgb="FFE8F5E9"/>
      </patternFill>
    </fill>
    <fill>
      <patternFill patternType="solid">
        <fgColor rgb="FFE8F5E9"/>
        <bgColor rgb="FFECEFF1"/>
      </patternFill>
    </fill>
    <fill>
      <patternFill patternType="solid">
        <fgColor rgb="FFFFCDD2"/>
        <bgColor rgb="FFFFE0B2"/>
      </patternFill>
    </fill>
    <fill>
      <patternFill patternType="solid">
        <fgColor rgb="FF34495E"/>
        <bgColor rgb="FF1F3A5F"/>
      </patternFill>
    </fill>
    <fill>
      <patternFill patternType="solid">
        <fgColor rgb="FFFFFFFF"/>
        <bgColor rgb="FFFAFAFA"/>
      </patternFill>
    </fill>
    <fill>
      <patternFill patternType="solid">
        <fgColor rgb="FFF1F8F1"/>
        <bgColor rgb="FFF7F7F7"/>
      </patternFill>
    </fill>
    <fill>
      <patternFill patternType="solid">
        <fgColor rgb="FFD4EDDA"/>
        <bgColor rgb="FFDCEDC8"/>
      </patternFill>
    </fill>
    <fill>
      <patternFill patternType="solid">
        <fgColor rgb="FF2E7D32"/>
        <bgColor rgb="FF008000"/>
      </patternFill>
    </fill>
    <fill>
      <patternFill patternType="solid">
        <fgColor rgb="FF546E7A"/>
        <bgColor rgb="FF666666"/>
      </patternFill>
    </fill>
    <fill>
      <patternFill patternType="solid">
        <fgColor rgb="FFFAFAFA"/>
        <bgColor rgb="FFF7F7F7"/>
      </patternFill>
    </fill>
    <fill>
      <patternFill patternType="solid">
        <fgColor rgb="FFFFF9C4"/>
        <bgColor rgb="FFF1F8F1"/>
      </patternFill>
    </fill>
    <fill>
      <patternFill patternType="solid">
        <fgColor rgb="FFE3F2FD"/>
        <bgColor rgb="FFECEFF1"/>
      </patternFill>
    </fill>
    <fill>
      <patternFill patternType="solid">
        <fgColor rgb="FFA5D6A7"/>
        <bgColor rgb="FFB2DFDB"/>
      </patternFill>
    </fill>
    <fill>
      <patternFill patternType="solid">
        <fgColor rgb="FF66BB6A"/>
        <bgColor rgb="FF33CCCC"/>
      </patternFill>
    </fill>
    <fill>
      <patternFill patternType="solid">
        <fgColor rgb="FFF7F7F7"/>
        <bgColor rgb="FFFAFAFA"/>
      </patternFill>
    </fill>
    <fill>
      <patternFill patternType="solid">
        <fgColor rgb="FFFFE0B2"/>
        <bgColor rgb="FFFFCDD2"/>
      </patternFill>
    </fill>
    <fill>
      <patternFill patternType="solid">
        <fgColor rgb="FFF3E5F5"/>
        <bgColor rgb="FFFCE4EC"/>
      </patternFill>
    </fill>
    <fill>
      <patternFill patternType="solid">
        <fgColor rgb="FFFCE4EC"/>
        <bgColor rgb="FFF3E5F5"/>
      </patternFill>
    </fill>
    <fill>
      <patternFill patternType="solid">
        <fgColor rgb="FFDCEDC8"/>
        <bgColor rgb="FFD4EDDA"/>
      </patternFill>
    </fill>
    <fill>
      <patternFill patternType="solid">
        <fgColor rgb="FFB2DFDB"/>
        <bgColor rgb="FFC8E6C9"/>
      </patternFill>
    </fill>
  </fills>
  <borders count="7">
    <border>
      <left/>
      <right/>
      <top/>
      <bottom/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/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/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164" fontId="8" fillId="4" borderId="2" applyAlignment="1" pivotButton="0" quotePrefix="0" xfId="0">
      <alignment horizontal="center" vertical="center"/>
    </xf>
    <xf numFmtId="3" fontId="8" fillId="4" borderId="2" applyAlignment="1" pivotButton="0" quotePrefix="0" xfId="0">
      <alignment horizontal="center" vertical="center"/>
    </xf>
    <xf numFmtId="164" fontId="8" fillId="5" borderId="2" applyAlignment="1" pivotButton="0" quotePrefix="0" xfId="0">
      <alignment horizontal="center" vertical="center"/>
    </xf>
    <xf numFmtId="164" fontId="8" fillId="6" borderId="2" applyAlignment="1" pivotButton="0" quotePrefix="0" xfId="0">
      <alignment horizontal="center" vertical="center"/>
    </xf>
    <xf numFmtId="164" fontId="9" fillId="3" borderId="2" applyAlignment="1" pivotButton="0" quotePrefix="0" xfId="0">
      <alignment horizontal="center" vertical="center"/>
    </xf>
    <xf numFmtId="165" fontId="8" fillId="3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left" vertical="center"/>
    </xf>
    <xf numFmtId="3" fontId="13" fillId="8" borderId="2" applyAlignment="1" pivotButton="0" quotePrefix="0" xfId="0">
      <alignment horizontal="center" vertical="center"/>
    </xf>
    <xf numFmtId="164" fontId="13" fillId="8" borderId="2" applyAlignment="1" pivotButton="0" quotePrefix="0" xfId="0">
      <alignment horizontal="center" vertical="center"/>
    </xf>
    <xf numFmtId="164" fontId="14" fillId="8" borderId="2" applyAlignment="1" pivotButton="0" quotePrefix="0" xfId="0">
      <alignment horizontal="center" vertical="center"/>
    </xf>
    <xf numFmtId="165" fontId="13" fillId="8" borderId="2" applyAlignment="1" pivotButton="0" quotePrefix="0" xfId="0">
      <alignment horizontal="center" vertical="center"/>
    </xf>
    <xf numFmtId="166" fontId="13" fillId="8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3" fontId="13" fillId="9" borderId="2" applyAlignment="1" pivotButton="0" quotePrefix="0" xfId="0">
      <alignment horizontal="center" vertical="center"/>
    </xf>
    <xf numFmtId="164" fontId="13" fillId="9" borderId="2" applyAlignment="1" pivotButton="0" quotePrefix="0" xfId="0">
      <alignment horizontal="center" vertical="center"/>
    </xf>
    <xf numFmtId="164" fontId="14" fillId="9" borderId="2" applyAlignment="1" pivotButton="0" quotePrefix="0" xfId="0">
      <alignment horizontal="center" vertical="center"/>
    </xf>
    <xf numFmtId="165" fontId="13" fillId="9" borderId="2" applyAlignment="1" pivotButton="0" quotePrefix="0" xfId="0">
      <alignment horizontal="center" vertical="center"/>
    </xf>
    <xf numFmtId="166" fontId="13" fillId="9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left" vertical="center"/>
    </xf>
    <xf numFmtId="3" fontId="13" fillId="5" borderId="2" applyAlignment="1" pivotButton="0" quotePrefix="0" xfId="0">
      <alignment horizontal="center" vertical="center"/>
    </xf>
    <xf numFmtId="164" fontId="13" fillId="5" borderId="2" applyAlignment="1" pivotButton="0" quotePrefix="0" xfId="0">
      <alignment horizontal="center" vertical="center"/>
    </xf>
    <xf numFmtId="164" fontId="14" fillId="5" borderId="2" applyAlignment="1" pivotButton="0" quotePrefix="0" xfId="0">
      <alignment horizontal="center" vertical="center"/>
    </xf>
    <xf numFmtId="165" fontId="13" fillId="5" borderId="2" applyAlignment="1" pivotButton="0" quotePrefix="0" xfId="0">
      <alignment horizontal="center" vertical="center"/>
    </xf>
    <xf numFmtId="166" fontId="13" fillId="5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3" fontId="13" fillId="10" borderId="2" applyAlignment="1" pivotButton="0" quotePrefix="0" xfId="0">
      <alignment horizontal="center" vertical="center"/>
    </xf>
    <xf numFmtId="164" fontId="13" fillId="10" borderId="2" applyAlignment="1" pivotButton="0" quotePrefix="0" xfId="0">
      <alignment horizontal="center" vertical="center"/>
    </xf>
    <xf numFmtId="164" fontId="14" fillId="10" borderId="2" applyAlignment="1" pivotButton="0" quotePrefix="0" xfId="0">
      <alignment horizontal="center" vertical="center"/>
    </xf>
    <xf numFmtId="165" fontId="13" fillId="10" borderId="2" applyAlignment="1" pivotButton="0" quotePrefix="0" xfId="0">
      <alignment horizontal="center" vertical="center"/>
    </xf>
    <xf numFmtId="166" fontId="13" fillId="10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center"/>
    </xf>
    <xf numFmtId="165" fontId="13" fillId="13" borderId="2" applyAlignment="1" pivotButton="0" quotePrefix="0" xfId="0">
      <alignment horizontal="center" vertical="center"/>
    </xf>
    <xf numFmtId="164" fontId="13" fillId="13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/>
    </xf>
    <xf numFmtId="165" fontId="8" fillId="4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bottom"/>
    </xf>
    <xf numFmtId="0" fontId="11" fillId="12" borderId="0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165" fontId="20" fillId="1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21" fillId="0" borderId="2" applyAlignment="1" pivotButton="0" quotePrefix="0" xfId="0">
      <alignment horizontal="left" vertical="center" wrapText="1"/>
    </xf>
    <xf numFmtId="0" fontId="20" fillId="14" borderId="2" applyAlignment="1" pivotButton="0" quotePrefix="0" xfId="0">
      <alignment horizontal="center" vertical="center"/>
    </xf>
    <xf numFmtId="167" fontId="22" fillId="0" borderId="2" applyAlignment="1" pivotButton="0" quotePrefix="0" xfId="0">
      <alignment horizontal="center" vertical="center"/>
    </xf>
    <xf numFmtId="165" fontId="22" fillId="0" borderId="2" applyAlignment="1" pivotButton="0" quotePrefix="0" xfId="0">
      <alignment horizontal="center" vertical="center"/>
    </xf>
    <xf numFmtId="168" fontId="22" fillId="0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 wrapText="1"/>
    </xf>
    <xf numFmtId="0" fontId="23" fillId="15" borderId="2" applyAlignment="1" pivotButton="0" quotePrefix="0" xfId="0">
      <alignment horizontal="center" vertical="center" wrapText="1"/>
    </xf>
    <xf numFmtId="0" fontId="23" fillId="3" borderId="2" applyAlignment="1" pivotButton="0" quotePrefix="0" xfId="0">
      <alignment horizontal="center" vertical="center" wrapText="1"/>
    </xf>
    <xf numFmtId="0" fontId="23" fillId="16" borderId="2" applyAlignment="1" pivotButton="0" quotePrefix="0" xfId="0">
      <alignment horizontal="center" vertical="center" wrapText="1"/>
    </xf>
    <xf numFmtId="0" fontId="23" fillId="17" borderId="2" applyAlignment="1" pivotButton="0" quotePrefix="0" xfId="0">
      <alignment horizontal="center" vertical="center" wrapText="1"/>
    </xf>
    <xf numFmtId="0" fontId="24" fillId="13" borderId="2" applyAlignment="1" pivotButton="0" quotePrefix="0" xfId="0">
      <alignment horizontal="center" vertical="center"/>
    </xf>
    <xf numFmtId="0" fontId="19" fillId="18" borderId="2" applyAlignment="1" pivotButton="0" quotePrefix="0" xfId="0">
      <alignment horizontal="left" vertical="center"/>
    </xf>
    <xf numFmtId="164" fontId="24" fillId="8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164" fontId="8" fillId="13" borderId="2" applyAlignment="1" pivotButton="0" quotePrefix="0" xfId="0">
      <alignment horizontal="center" vertical="center"/>
    </xf>
    <xf numFmtId="164" fontId="24" fillId="13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left" vertical="center"/>
    </xf>
    <xf numFmtId="164" fontId="25" fillId="8" borderId="2" applyAlignment="1" pivotButton="0" quotePrefix="0" xfId="0">
      <alignment horizontal="center" vertical="center"/>
    </xf>
    <xf numFmtId="164" fontId="26" fillId="3" borderId="2" applyAlignment="1" pivotButton="0" quotePrefix="0" xfId="0">
      <alignment horizontal="center" vertical="center"/>
    </xf>
    <xf numFmtId="168" fontId="13" fillId="13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 wrapText="1"/>
    </xf>
    <xf numFmtId="0" fontId="19" fillId="15" borderId="2" applyAlignment="1" pivotButton="0" quotePrefix="0" xfId="0">
      <alignment horizontal="left" vertical="center" wrapText="1"/>
    </xf>
    <xf numFmtId="0" fontId="12" fillId="15" borderId="2" applyAlignment="1" pivotButton="0" quotePrefix="0" xfId="0">
      <alignment horizontal="left" vertical="center" wrapText="1"/>
    </xf>
    <xf numFmtId="0" fontId="19" fillId="15" borderId="2" applyAlignment="1" pivotButton="0" quotePrefix="0" xfId="0">
      <alignment horizontal="center" vertical="center" wrapText="1"/>
    </xf>
    <xf numFmtId="0" fontId="12" fillId="14" borderId="2" applyAlignment="1" pivotButton="0" quotePrefix="0" xfId="0">
      <alignment horizontal="center" vertical="center" wrapText="1"/>
    </xf>
    <xf numFmtId="0" fontId="19" fillId="14" borderId="2" applyAlignment="1" pivotButton="0" quotePrefix="0" xfId="0">
      <alignment horizontal="left" vertical="center" wrapText="1"/>
    </xf>
    <xf numFmtId="0" fontId="12" fillId="14" borderId="2" applyAlignment="1" pivotButton="0" quotePrefix="0" xfId="0">
      <alignment horizontal="left" vertical="center" wrapText="1"/>
    </xf>
    <xf numFmtId="0" fontId="19" fillId="14" borderId="2" applyAlignment="1" pivotButton="0" quotePrefix="0" xfId="0">
      <alignment horizontal="center" vertical="center" wrapText="1"/>
    </xf>
    <xf numFmtId="0" fontId="12" fillId="19" borderId="2" applyAlignment="1" pivotButton="0" quotePrefix="0" xfId="0">
      <alignment horizontal="center" vertical="center" wrapText="1"/>
    </xf>
    <xf numFmtId="0" fontId="19" fillId="19" borderId="2" applyAlignment="1" pivotButton="0" quotePrefix="0" xfId="0">
      <alignment horizontal="left" vertical="center" wrapText="1"/>
    </xf>
    <xf numFmtId="0" fontId="12" fillId="19" borderId="2" applyAlignment="1" pivotButton="0" quotePrefix="0" xfId="0">
      <alignment horizontal="left" vertical="center" wrapText="1"/>
    </xf>
    <xf numFmtId="0" fontId="19" fillId="19" borderId="2" applyAlignment="1" pivotButton="0" quotePrefix="0" xfId="0">
      <alignment horizontal="center" vertical="center" wrapText="1"/>
    </xf>
    <xf numFmtId="0" fontId="12" fillId="20" borderId="2" applyAlignment="1" pivotButton="0" quotePrefix="0" xfId="0">
      <alignment horizontal="center" vertical="center" wrapText="1"/>
    </xf>
    <xf numFmtId="0" fontId="19" fillId="20" borderId="2" applyAlignment="1" pivotButton="0" quotePrefix="0" xfId="0">
      <alignment horizontal="left" vertical="center" wrapText="1"/>
    </xf>
    <xf numFmtId="0" fontId="12" fillId="20" borderId="2" applyAlignment="1" pivotButton="0" quotePrefix="0" xfId="0">
      <alignment horizontal="left" vertical="center" wrapText="1"/>
    </xf>
    <xf numFmtId="0" fontId="19" fillId="20" borderId="2" applyAlignment="1" pivotButton="0" quotePrefix="0" xfId="0">
      <alignment horizontal="center" vertical="center" wrapText="1"/>
    </xf>
    <xf numFmtId="0" fontId="12" fillId="21" borderId="2" applyAlignment="1" pivotButton="0" quotePrefix="0" xfId="0">
      <alignment horizontal="center" vertical="center" wrapText="1"/>
    </xf>
    <xf numFmtId="0" fontId="19" fillId="21" borderId="2" applyAlignment="1" pivotButton="0" quotePrefix="0" xfId="0">
      <alignment horizontal="left" vertical="center" wrapText="1"/>
    </xf>
    <xf numFmtId="0" fontId="12" fillId="21" borderId="2" applyAlignment="1" pivotButton="0" quotePrefix="0" xfId="0">
      <alignment horizontal="left" vertical="center" wrapText="1"/>
    </xf>
    <xf numFmtId="0" fontId="19" fillId="21" borderId="2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 wrapText="1"/>
    </xf>
    <xf numFmtId="0" fontId="19" fillId="3" borderId="2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9" fillId="3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19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9" fillId="5" borderId="2" applyAlignment="1" pivotButton="0" quotePrefix="0" xfId="0">
      <alignment horizontal="center" vertical="center" wrapText="1"/>
    </xf>
    <xf numFmtId="0" fontId="12" fillId="22" borderId="2" applyAlignment="1" pivotButton="0" quotePrefix="0" xfId="0">
      <alignment horizontal="center" vertical="center" wrapText="1"/>
    </xf>
    <xf numFmtId="0" fontId="19" fillId="22" borderId="2" applyAlignment="1" pivotButton="0" quotePrefix="0" xfId="0">
      <alignment horizontal="left" vertical="center" wrapText="1"/>
    </xf>
    <xf numFmtId="0" fontId="12" fillId="22" borderId="2" applyAlignment="1" pivotButton="0" quotePrefix="0" xfId="0">
      <alignment horizontal="left" vertical="center" wrapText="1"/>
    </xf>
    <xf numFmtId="0" fontId="19" fillId="22" borderId="2" applyAlignment="1" pivotButton="0" quotePrefix="0" xfId="0">
      <alignment horizontal="center" vertical="center" wrapText="1"/>
    </xf>
    <xf numFmtId="0" fontId="12" fillId="23" borderId="2" applyAlignment="1" pivotButton="0" quotePrefix="0" xfId="0">
      <alignment horizontal="center" vertical="center" wrapText="1"/>
    </xf>
    <xf numFmtId="0" fontId="19" fillId="23" borderId="2" applyAlignment="1" pivotButton="0" quotePrefix="0" xfId="0">
      <alignment horizontal="left" vertical="center" wrapText="1"/>
    </xf>
    <xf numFmtId="0" fontId="12" fillId="23" borderId="2" applyAlignment="1" pivotButton="0" quotePrefix="0" xfId="0">
      <alignment horizontal="left" vertical="center" wrapText="1"/>
    </xf>
    <xf numFmtId="0" fontId="19" fillId="23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7" fillId="2" borderId="2" applyAlignment="1" pivotButton="0" quotePrefix="0" xfId="0">
      <alignment horizontal="center" vertical="center" wrapText="1"/>
    </xf>
    <xf numFmtId="164" fontId="8" fillId="4" borderId="2" applyAlignment="1" pivotButton="0" quotePrefix="0" xfId="0">
      <alignment horizontal="center" vertical="center"/>
    </xf>
    <xf numFmtId="3" fontId="8" fillId="4" borderId="2" applyAlignment="1" pivotButton="0" quotePrefix="0" xfId="0">
      <alignment horizontal="center" vertical="center"/>
    </xf>
    <xf numFmtId="164" fontId="8" fillId="5" borderId="2" applyAlignment="1" pivotButton="0" quotePrefix="0" xfId="0">
      <alignment horizontal="center" vertical="center"/>
    </xf>
    <xf numFmtId="164" fontId="8" fillId="6" borderId="2" applyAlignment="1" pivotButton="0" quotePrefix="0" xfId="0">
      <alignment horizontal="center" vertical="center"/>
    </xf>
    <xf numFmtId="164" fontId="9" fillId="3" borderId="2" applyAlignment="1" pivotButton="0" quotePrefix="0" xfId="0">
      <alignment horizontal="center" vertical="center"/>
    </xf>
    <xf numFmtId="165" fontId="8" fillId="3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11" fillId="7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left" vertical="center"/>
    </xf>
    <xf numFmtId="3" fontId="13" fillId="8" borderId="2" applyAlignment="1" pivotButton="0" quotePrefix="0" xfId="0">
      <alignment horizontal="center" vertical="center"/>
    </xf>
    <xf numFmtId="164" fontId="13" fillId="8" borderId="2" applyAlignment="1" pivotButton="0" quotePrefix="0" xfId="0">
      <alignment horizontal="center" vertical="center"/>
    </xf>
    <xf numFmtId="164" fontId="14" fillId="8" borderId="2" applyAlignment="1" pivotButton="0" quotePrefix="0" xfId="0">
      <alignment horizontal="center" vertical="center"/>
    </xf>
    <xf numFmtId="165" fontId="13" fillId="8" borderId="2" applyAlignment="1" pivotButton="0" quotePrefix="0" xfId="0">
      <alignment horizontal="center" vertical="center"/>
    </xf>
    <xf numFmtId="166" fontId="13" fillId="8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3" fontId="13" fillId="9" borderId="2" applyAlignment="1" pivotButton="0" quotePrefix="0" xfId="0">
      <alignment horizontal="center" vertical="center"/>
    </xf>
    <xf numFmtId="164" fontId="13" fillId="9" borderId="2" applyAlignment="1" pivotButton="0" quotePrefix="0" xfId="0">
      <alignment horizontal="center" vertical="center"/>
    </xf>
    <xf numFmtId="164" fontId="14" fillId="9" borderId="2" applyAlignment="1" pivotButton="0" quotePrefix="0" xfId="0">
      <alignment horizontal="center" vertical="center"/>
    </xf>
    <xf numFmtId="165" fontId="13" fillId="9" borderId="2" applyAlignment="1" pivotButton="0" quotePrefix="0" xfId="0">
      <alignment horizontal="center" vertical="center"/>
    </xf>
    <xf numFmtId="166" fontId="13" fillId="9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left" vertical="center"/>
    </xf>
    <xf numFmtId="3" fontId="13" fillId="5" borderId="2" applyAlignment="1" pivotButton="0" quotePrefix="0" xfId="0">
      <alignment horizontal="center" vertical="center"/>
    </xf>
    <xf numFmtId="164" fontId="13" fillId="5" borderId="2" applyAlignment="1" pivotButton="0" quotePrefix="0" xfId="0">
      <alignment horizontal="center" vertical="center"/>
    </xf>
    <xf numFmtId="164" fontId="14" fillId="5" borderId="2" applyAlignment="1" pivotButton="0" quotePrefix="0" xfId="0">
      <alignment horizontal="center" vertical="center"/>
    </xf>
    <xf numFmtId="165" fontId="13" fillId="5" borderId="2" applyAlignment="1" pivotButton="0" quotePrefix="0" xfId="0">
      <alignment horizontal="center" vertical="center"/>
    </xf>
    <xf numFmtId="166" fontId="13" fillId="5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3" fontId="13" fillId="10" borderId="2" applyAlignment="1" pivotButton="0" quotePrefix="0" xfId="0">
      <alignment horizontal="center" vertical="center"/>
    </xf>
    <xf numFmtId="164" fontId="13" fillId="10" borderId="2" applyAlignment="1" pivotButton="0" quotePrefix="0" xfId="0">
      <alignment horizontal="center" vertical="center"/>
    </xf>
    <xf numFmtId="164" fontId="14" fillId="10" borderId="2" applyAlignment="1" pivotButton="0" quotePrefix="0" xfId="0">
      <alignment horizontal="center" vertical="center"/>
    </xf>
    <xf numFmtId="165" fontId="13" fillId="10" borderId="2" applyAlignment="1" pivotButton="0" quotePrefix="0" xfId="0">
      <alignment horizontal="center" vertical="center"/>
    </xf>
    <xf numFmtId="166" fontId="13" fillId="10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center"/>
    </xf>
    <xf numFmtId="165" fontId="13" fillId="13" borderId="2" applyAlignment="1" pivotButton="0" quotePrefix="0" xfId="0">
      <alignment horizontal="center" vertical="center"/>
    </xf>
    <xf numFmtId="164" fontId="13" fillId="13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/>
    </xf>
    <xf numFmtId="165" fontId="8" fillId="4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bottom"/>
    </xf>
    <xf numFmtId="0" fontId="11" fillId="12" borderId="0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165" fontId="20" fillId="1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21" fillId="0" borderId="2" applyAlignment="1" pivotButton="0" quotePrefix="0" xfId="0">
      <alignment horizontal="left" vertical="center" wrapText="1"/>
    </xf>
    <xf numFmtId="0" fontId="20" fillId="14" borderId="2" applyAlignment="1" pivotButton="0" quotePrefix="0" xfId="0">
      <alignment horizontal="center" vertical="center"/>
    </xf>
    <xf numFmtId="167" fontId="22" fillId="0" borderId="2" applyAlignment="1" pivotButton="0" quotePrefix="0" xfId="0">
      <alignment horizontal="center" vertical="center"/>
    </xf>
    <xf numFmtId="165" fontId="22" fillId="0" borderId="2" applyAlignment="1" pivotButton="0" quotePrefix="0" xfId="0">
      <alignment horizontal="center" vertical="center"/>
    </xf>
    <xf numFmtId="168" fontId="22" fillId="0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 wrapText="1"/>
    </xf>
    <xf numFmtId="0" fontId="23" fillId="15" borderId="2" applyAlignment="1" pivotButton="0" quotePrefix="0" xfId="0">
      <alignment horizontal="center" vertical="center" wrapText="1"/>
    </xf>
    <xf numFmtId="0" fontId="23" fillId="3" borderId="2" applyAlignment="1" pivotButton="0" quotePrefix="0" xfId="0">
      <alignment horizontal="center" vertical="center" wrapText="1"/>
    </xf>
    <xf numFmtId="0" fontId="23" fillId="16" borderId="2" applyAlignment="1" pivotButton="0" quotePrefix="0" xfId="0">
      <alignment horizontal="center" vertical="center" wrapText="1"/>
    </xf>
    <xf numFmtId="0" fontId="23" fillId="17" borderId="2" applyAlignment="1" pivotButton="0" quotePrefix="0" xfId="0">
      <alignment horizontal="center" vertical="center" wrapText="1"/>
    </xf>
    <xf numFmtId="0" fontId="24" fillId="13" borderId="2" applyAlignment="1" pivotButton="0" quotePrefix="0" xfId="0">
      <alignment horizontal="center" vertical="center"/>
    </xf>
    <xf numFmtId="0" fontId="19" fillId="18" borderId="2" applyAlignment="1" pivotButton="0" quotePrefix="0" xfId="0">
      <alignment horizontal="left" vertical="center"/>
    </xf>
    <xf numFmtId="164" fontId="24" fillId="8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164" fontId="8" fillId="13" borderId="2" applyAlignment="1" pivotButton="0" quotePrefix="0" xfId="0">
      <alignment horizontal="center" vertical="center"/>
    </xf>
    <xf numFmtId="164" fontId="24" fillId="13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left" vertical="center"/>
    </xf>
    <xf numFmtId="164" fontId="25" fillId="8" borderId="2" applyAlignment="1" pivotButton="0" quotePrefix="0" xfId="0">
      <alignment horizontal="center" vertical="center"/>
    </xf>
    <xf numFmtId="164" fontId="26" fillId="3" borderId="2" applyAlignment="1" pivotButton="0" quotePrefix="0" xfId="0">
      <alignment horizontal="center" vertical="center"/>
    </xf>
    <xf numFmtId="168" fontId="13" fillId="13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 wrapText="1"/>
    </xf>
    <xf numFmtId="0" fontId="19" fillId="15" borderId="2" applyAlignment="1" pivotButton="0" quotePrefix="0" xfId="0">
      <alignment horizontal="left" vertical="center" wrapText="1"/>
    </xf>
    <xf numFmtId="0" fontId="12" fillId="15" borderId="2" applyAlignment="1" pivotButton="0" quotePrefix="0" xfId="0">
      <alignment horizontal="left" vertical="center" wrapText="1"/>
    </xf>
    <xf numFmtId="0" fontId="19" fillId="15" borderId="2" applyAlignment="1" pivotButton="0" quotePrefix="0" xfId="0">
      <alignment horizontal="center" vertical="center" wrapText="1"/>
    </xf>
    <xf numFmtId="0" fontId="12" fillId="14" borderId="2" applyAlignment="1" pivotButton="0" quotePrefix="0" xfId="0">
      <alignment horizontal="center" vertical="center" wrapText="1"/>
    </xf>
    <xf numFmtId="0" fontId="19" fillId="14" borderId="2" applyAlignment="1" pivotButton="0" quotePrefix="0" xfId="0">
      <alignment horizontal="left" vertical="center" wrapText="1"/>
    </xf>
    <xf numFmtId="0" fontId="12" fillId="14" borderId="2" applyAlignment="1" pivotButton="0" quotePrefix="0" xfId="0">
      <alignment horizontal="left" vertical="center" wrapText="1"/>
    </xf>
    <xf numFmtId="0" fontId="19" fillId="14" borderId="2" applyAlignment="1" pivotButton="0" quotePrefix="0" xfId="0">
      <alignment horizontal="center" vertical="center" wrapText="1"/>
    </xf>
    <xf numFmtId="0" fontId="12" fillId="19" borderId="2" applyAlignment="1" pivotButton="0" quotePrefix="0" xfId="0">
      <alignment horizontal="center" vertical="center" wrapText="1"/>
    </xf>
    <xf numFmtId="0" fontId="19" fillId="19" borderId="2" applyAlignment="1" pivotButton="0" quotePrefix="0" xfId="0">
      <alignment horizontal="left" vertical="center" wrapText="1"/>
    </xf>
    <xf numFmtId="0" fontId="12" fillId="19" borderId="2" applyAlignment="1" pivotButton="0" quotePrefix="0" xfId="0">
      <alignment horizontal="left" vertical="center" wrapText="1"/>
    </xf>
    <xf numFmtId="0" fontId="19" fillId="19" borderId="2" applyAlignment="1" pivotButton="0" quotePrefix="0" xfId="0">
      <alignment horizontal="center" vertical="center" wrapText="1"/>
    </xf>
    <xf numFmtId="0" fontId="12" fillId="20" borderId="2" applyAlignment="1" pivotButton="0" quotePrefix="0" xfId="0">
      <alignment horizontal="center" vertical="center" wrapText="1"/>
    </xf>
    <xf numFmtId="0" fontId="19" fillId="20" borderId="2" applyAlignment="1" pivotButton="0" quotePrefix="0" xfId="0">
      <alignment horizontal="left" vertical="center" wrapText="1"/>
    </xf>
    <xf numFmtId="0" fontId="12" fillId="20" borderId="2" applyAlignment="1" pivotButton="0" quotePrefix="0" xfId="0">
      <alignment horizontal="left" vertical="center" wrapText="1"/>
    </xf>
    <xf numFmtId="0" fontId="19" fillId="20" borderId="2" applyAlignment="1" pivotButton="0" quotePrefix="0" xfId="0">
      <alignment horizontal="center" vertical="center" wrapText="1"/>
    </xf>
    <xf numFmtId="0" fontId="12" fillId="21" borderId="2" applyAlignment="1" pivotButton="0" quotePrefix="0" xfId="0">
      <alignment horizontal="center" vertical="center" wrapText="1"/>
    </xf>
    <xf numFmtId="0" fontId="19" fillId="21" borderId="2" applyAlignment="1" pivotButton="0" quotePrefix="0" xfId="0">
      <alignment horizontal="left" vertical="center" wrapText="1"/>
    </xf>
    <xf numFmtId="0" fontId="12" fillId="21" borderId="2" applyAlignment="1" pivotButton="0" quotePrefix="0" xfId="0">
      <alignment horizontal="left" vertical="center" wrapText="1"/>
    </xf>
    <xf numFmtId="0" fontId="19" fillId="21" borderId="2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 wrapText="1"/>
    </xf>
    <xf numFmtId="0" fontId="19" fillId="3" borderId="2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9" fillId="3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19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9" fillId="5" borderId="2" applyAlignment="1" pivotButton="0" quotePrefix="0" xfId="0">
      <alignment horizontal="center" vertical="center" wrapText="1"/>
    </xf>
    <xf numFmtId="0" fontId="12" fillId="22" borderId="2" applyAlignment="1" pivotButton="0" quotePrefix="0" xfId="0">
      <alignment horizontal="center" vertical="center" wrapText="1"/>
    </xf>
    <xf numFmtId="0" fontId="19" fillId="22" borderId="2" applyAlignment="1" pivotButton="0" quotePrefix="0" xfId="0">
      <alignment horizontal="left" vertical="center" wrapText="1"/>
    </xf>
    <xf numFmtId="0" fontId="12" fillId="22" borderId="2" applyAlignment="1" pivotButton="0" quotePrefix="0" xfId="0">
      <alignment horizontal="left" vertical="center" wrapText="1"/>
    </xf>
    <xf numFmtId="0" fontId="19" fillId="22" borderId="2" applyAlignment="1" pivotButton="0" quotePrefix="0" xfId="0">
      <alignment horizontal="center" vertical="center" wrapText="1"/>
    </xf>
    <xf numFmtId="0" fontId="12" fillId="23" borderId="2" applyAlignment="1" pivotButton="0" quotePrefix="0" xfId="0">
      <alignment horizontal="center" vertical="center" wrapText="1"/>
    </xf>
    <xf numFmtId="0" fontId="19" fillId="23" borderId="2" applyAlignment="1" pivotButton="0" quotePrefix="0" xfId="0">
      <alignment horizontal="left" vertical="center" wrapText="1"/>
    </xf>
    <xf numFmtId="0" fontId="12" fillId="23" borderId="2" applyAlignment="1" pivotButton="0" quotePrefix="0" xfId="0">
      <alignment horizontal="left" vertical="center" wrapText="1"/>
    </xf>
    <xf numFmtId="0" fontId="19" fillId="23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1F8F1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666666"/>
      <rgbColor rgb="FFA5D6A7"/>
      <rgbColor rgb="FF993366"/>
      <rgbColor rgb="FFFFF9C4"/>
      <rgbColor rgb="FFE3F2FD"/>
      <rgbColor rgb="FF660066"/>
      <rgbColor rgb="FFF7F7F7"/>
      <rgbColor rgb="FF0066CC"/>
      <rgbColor rgb="FFC8E6C9"/>
      <rgbColor rgb="FF000080"/>
      <rgbColor rgb="FFFF00FF"/>
      <rgbColor rgb="FFECEFF1"/>
      <rgbColor rgb="FF00FFFF"/>
      <rgbColor rgb="FF800080"/>
      <rgbColor rgb="FF800000"/>
      <rgbColor rgb="FF008080"/>
      <rgbColor rgb="FF0000FF"/>
      <rgbColor rgb="FF00CCFF"/>
      <rgbColor rgb="FFE8F5E9"/>
      <rgbColor rgb="FFD4EDDA"/>
      <rgbColor rgb="FFDCEDC8"/>
      <rgbColor rgb="FFB2DFDB"/>
      <rgbColor rgb="FFFFCDD2"/>
      <rgbColor rgb="FFF3E5F5"/>
      <rgbColor rgb="FFFFE0B2"/>
      <rgbColor rgb="FF3366FF"/>
      <rgbColor rgb="FF33CCCC"/>
      <rgbColor rgb="FFFAFAFA"/>
      <rgbColor rgb="FFFCE4EC"/>
      <rgbColor rgb="FFFF9900"/>
      <rgbColor rgb="FFFF6600"/>
      <rgbColor rgb="FF546E7A"/>
      <rgbColor rgb="FF66BB6A"/>
      <rgbColor rgb="FF1F3A5F"/>
      <rgbColor rgb="FF2E7D32"/>
      <rgbColor rgb="FF003300"/>
      <rgbColor rgb="FF555555"/>
      <rgbColor rgb="FF993300"/>
      <rgbColor rgb="FF993366"/>
      <rgbColor rgb="FF34495E"/>
      <rgbColor rgb="FF22222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10" min="1" max="1"/>
    <col width="14" customWidth="1" style="110" min="2" max="4"/>
    <col width="22" customWidth="1" style="110" min="5" max="5"/>
    <col width="14" customWidth="1" style="110" min="6" max="8"/>
  </cols>
  <sheetData>
    <row r="1" ht="33.75" customHeight="1" s="111">
      <c r="A1" s="112" t="inlineStr">
        <is>
          <t>Jr Lions Lacrosse — Digital Savings Book  |  Financial Dashboard</t>
        </is>
      </c>
    </row>
    <row r="2" ht="21.75" customHeight="1" s="111">
      <c r="A2" s="113" t="inlineStr">
        <is>
          <t>Selected Scenario →</t>
        </is>
      </c>
      <c r="C2" s="114" t="inlineStr">
        <is>
          <t>Base Case (500 books)</t>
        </is>
      </c>
      <c r="D2" s="115" t="n"/>
    </row>
    <row r="3" ht="7.5" customHeight="1" s="111"/>
    <row r="4" ht="21.75" customHeight="1" s="111">
      <c r="A4" s="116" t="inlineStr">
        <is>
          <t>SELL PRICE</t>
        </is>
      </c>
      <c r="B4" s="116" t="inlineStr">
        <is>
          <t>BOOKS SOLD</t>
        </is>
      </c>
      <c r="C4" s="116" t="inlineStr">
        <is>
          <t>GROSS REVENUE</t>
        </is>
      </c>
      <c r="D4" s="116" t="inlineStr">
        <is>
          <t>TOTAL COSTS</t>
        </is>
      </c>
      <c r="E4" s="116" t="inlineStr">
        <is>
          <t>NET PROFIT</t>
        </is>
      </c>
      <c r="F4" s="116" t="inlineStr">
        <is>
          <t>PROFIT / BOOK</t>
        </is>
      </c>
    </row>
    <row r="5" ht="43.5" customHeight="1" s="111">
      <c r="A5" s="117">
        <f>Assumptions!B4</f>
        <v/>
      </c>
      <c r="B5" s="118">
        <f>Assumptions!B10</f>
        <v/>
      </c>
      <c r="C5" s="119">
        <f>Assumptions!B4*Assumptions!B10</f>
        <v/>
      </c>
      <c r="D5" s="120">
        <f>Assumptions!B10*Assumptions!B16</f>
        <v/>
      </c>
      <c r="E5" s="121">
        <f>C5-D5</f>
        <v/>
      </c>
      <c r="F5" s="122">
        <f>IFERROR(E5/Assumptions!B10,0)</f>
        <v/>
      </c>
    </row>
    <row r="6" ht="9.75" customHeight="1" s="111"/>
    <row r="7" ht="21.75" customHeight="1" s="111">
      <c r="A7" s="123" t="inlineStr">
        <is>
          <t>SCENARIO COMPARISON</t>
        </is>
      </c>
      <c r="B7" s="115" t="n"/>
      <c r="C7" s="115" t="n"/>
      <c r="D7" s="115" t="n"/>
      <c r="E7" s="115" t="n"/>
      <c r="F7" s="115" t="n"/>
      <c r="G7" s="115" t="n"/>
      <c r="H7" s="124" t="n"/>
    </row>
    <row r="8" ht="21.75" customHeight="1" s="111">
      <c r="A8" s="125" t="inlineStr">
        <is>
          <t>Scenario</t>
        </is>
      </c>
      <c r="B8" s="125" t="inlineStr">
        <is>
          <t>Books Sold</t>
        </is>
      </c>
      <c r="C8" s="125" t="inlineStr">
        <is>
          <t>Sell Price</t>
        </is>
      </c>
      <c r="D8" s="125" t="inlineStr">
        <is>
          <t>Gross Revenue</t>
        </is>
      </c>
      <c r="E8" s="125" t="inlineStr">
        <is>
          <t>Costs</t>
        </is>
      </c>
      <c r="F8" s="125" t="inlineStr">
        <is>
          <t>Net Profit</t>
        </is>
      </c>
      <c r="G8" s="125" t="inlineStr">
        <is>
          <t>Profit / Book</t>
        </is>
      </c>
      <c r="H8" s="125" t="inlineStr">
        <is>
          <t>YoY Δ vs 100</t>
        </is>
      </c>
    </row>
    <row r="9" ht="21.75" customHeight="1" s="111">
      <c r="A9" s="126" t="inlineStr">
        <is>
          <t>Conservative</t>
        </is>
      </c>
      <c r="B9" s="127">
        <f>Scenarios!B4</f>
        <v/>
      </c>
      <c r="C9" s="128">
        <f>Scenarios!B3</f>
        <v/>
      </c>
      <c r="D9" s="128">
        <f>B9*C9</f>
        <v/>
      </c>
      <c r="E9" s="128">
        <f>Scenarios!B4*Scenarios!B8</f>
        <v/>
      </c>
      <c r="F9" s="129">
        <f>D9-E9</f>
        <v/>
      </c>
      <c r="G9" s="130">
        <f>IFERROR(F9/B9,0)</f>
        <v/>
      </c>
      <c r="H9" s="131" t="inlineStr">
        <is>
          <t>—</t>
        </is>
      </c>
    </row>
    <row r="10" ht="21.75" customHeight="1" s="111">
      <c r="A10" s="132" t="inlineStr">
        <is>
          <t>Base Case</t>
        </is>
      </c>
      <c r="B10" s="133">
        <f>Scenarios!C4</f>
        <v/>
      </c>
      <c r="C10" s="134">
        <f>Scenarios!C3</f>
        <v/>
      </c>
      <c r="D10" s="134">
        <f>B10*C10</f>
        <v/>
      </c>
      <c r="E10" s="134">
        <f>Scenarios!C4*Scenarios!C8</f>
        <v/>
      </c>
      <c r="F10" s="135">
        <f>D10-E10</f>
        <v/>
      </c>
      <c r="G10" s="136">
        <f>IFERROR(F10/B10,0)</f>
        <v/>
      </c>
      <c r="H10" s="137">
        <f>F10-F9</f>
        <v/>
      </c>
    </row>
    <row r="11" ht="21.75" customHeight="1" s="111">
      <c r="A11" s="138" t="inlineStr">
        <is>
          <t>Optimistic</t>
        </is>
      </c>
      <c r="B11" s="139">
        <f>Scenarios!D4</f>
        <v/>
      </c>
      <c r="C11" s="140">
        <f>Scenarios!D3</f>
        <v/>
      </c>
      <c r="D11" s="140">
        <f>B11*C11</f>
        <v/>
      </c>
      <c r="E11" s="140">
        <f>Scenarios!D4*Scenarios!D8</f>
        <v/>
      </c>
      <c r="F11" s="141">
        <f>D11-E11</f>
        <v/>
      </c>
      <c r="G11" s="142">
        <f>IFERROR(F11/B11,0)</f>
        <v/>
      </c>
      <c r="H11" s="143">
        <f>F11-F9</f>
        <v/>
      </c>
    </row>
    <row r="12" ht="21.75" customHeight="1" s="111">
      <c r="A12" s="144" t="inlineStr">
        <is>
          <t>Stretch Goal</t>
        </is>
      </c>
      <c r="B12" s="145">
        <f>Scenarios!E4</f>
        <v/>
      </c>
      <c r="C12" s="146">
        <f>Scenarios!E3</f>
        <v/>
      </c>
      <c r="D12" s="146">
        <f>B12*C12</f>
        <v/>
      </c>
      <c r="E12" s="146">
        <f>Scenarios!E4*Scenarios!E8</f>
        <v/>
      </c>
      <c r="F12" s="147">
        <f>D12-E12</f>
        <v/>
      </c>
      <c r="G12" s="148">
        <f>IFERROR(F12/B12,0)</f>
        <v/>
      </c>
      <c r="H12" s="149">
        <f>F12-F9</f>
        <v/>
      </c>
    </row>
    <row r="13" ht="9.75" customHeight="1" s="111"/>
    <row r="14" ht="21.75" customHeight="1" s="111">
      <c r="A14" s="150" t="inlineStr">
        <is>
          <t>DIGITAL COST BREAKDOWN (BASE CASE)</t>
        </is>
      </c>
      <c r="B14" s="115" t="n"/>
      <c r="C14" s="115" t="n"/>
      <c r="D14" s="124" t="n"/>
      <c r="E14" s="150" t="inlineStr">
        <is>
          <t>CUMULATIVE REVENUE POTENTIAL</t>
        </is>
      </c>
      <c r="F14" s="115" t="n"/>
      <c r="G14" s="115" t="n"/>
      <c r="H14" s="124" t="n"/>
    </row>
    <row r="15" ht="15" customHeight="1" s="111">
      <c r="A15" s="151" t="inlineStr">
        <is>
          <t>Cost Item</t>
        </is>
      </c>
      <c r="B15" s="151" t="inlineStr">
        <is>
          <t>Per Book</t>
        </is>
      </c>
      <c r="C15" s="151" t="inlineStr">
        <is>
          <t>Total (Base)</t>
        </is>
      </c>
      <c r="D15" s="151" t="n"/>
    </row>
    <row r="16" ht="19.5" customHeight="1" s="111">
      <c r="A16" s="152" t="inlineStr">
        <is>
          <t>Payment processing (2.9% + $0.30/book)</t>
        </is>
      </c>
      <c r="B16" s="153">
        <f>Assumptions!B4*0.029+0.3</f>
        <v/>
      </c>
      <c r="C16" s="154">
        <f>B16*Assumptions!B10</f>
        <v/>
      </c>
      <c r="D16" s="155" t="n"/>
    </row>
    <row r="17" ht="19.5" customHeight="1" s="111">
      <c r="A17" s="152" t="inlineStr">
        <is>
          <t>Digital platform / hosting (annual)</t>
        </is>
      </c>
      <c r="B17" s="153">
        <f>Assumptions!B20</f>
        <v/>
      </c>
      <c r="C17" s="154">
        <f>B17</f>
        <v/>
      </c>
      <c r="D17" s="155" t="n"/>
    </row>
    <row r="18" ht="19.5" customHeight="1" s="111">
      <c r="A18" s="152" t="inlineStr">
        <is>
          <t>Design (Canva or volunteer)</t>
        </is>
      </c>
      <c r="B18" s="153">
        <f>Assumptions!B21</f>
        <v/>
      </c>
      <c r="C18" s="154">
        <f>B18</f>
        <v/>
      </c>
      <c r="D18" s="155" t="n"/>
    </row>
    <row r="19" ht="19.5" customHeight="1" s="111">
      <c r="A19" s="152" t="inlineStr">
        <is>
          <t>Social ads / promotion budget</t>
        </is>
      </c>
      <c r="B19" s="153">
        <f>Assumptions!B22</f>
        <v/>
      </c>
      <c r="C19" s="154">
        <f>B19</f>
        <v/>
      </c>
      <c r="D19" s="155" t="n"/>
    </row>
    <row r="20" ht="19.5" customHeight="1" s="111">
      <c r="A20" s="152" t="inlineStr">
        <is>
          <t>Misc (QR, comms, email platform)</t>
        </is>
      </c>
      <c r="B20" s="153">
        <f>Assumptions!B23</f>
        <v/>
      </c>
      <c r="C20" s="154">
        <f>B20</f>
        <v/>
      </c>
      <c r="D20" s="155" t="n"/>
    </row>
    <row r="21" ht="21.75" customHeight="1" s="111">
      <c r="A21" s="156" t="inlineStr">
        <is>
          <t>TOTAL COST PER BOOK</t>
        </is>
      </c>
      <c r="B21" s="157">
        <f>SUM(B16:B20)</f>
        <v/>
      </c>
      <c r="C21" s="117">
        <f>SUM(C16:C20)</f>
        <v/>
      </c>
      <c r="D21" s="158" t="n"/>
    </row>
  </sheetData>
  <mergeCells count="6">
    <mergeCell ref="E14:H14"/>
    <mergeCell ref="A2:B2"/>
    <mergeCell ref="C2:D2"/>
    <mergeCell ref="A7:H7"/>
    <mergeCell ref="A1:H1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10" min="1" max="1"/>
    <col width="18" customWidth="1" style="110" min="2" max="2"/>
    <col width="4" customWidth="1" style="110" min="3" max="3"/>
    <col width="50" customWidth="1" style="110" min="4" max="4"/>
  </cols>
  <sheetData>
    <row r="1" ht="30" customHeight="1" s="111">
      <c r="A1" s="159" t="inlineStr">
        <is>
          <t>Model Assumptions  —  Blue cells are inputs you can change</t>
        </is>
      </c>
    </row>
    <row r="2" ht="15.75" customHeight="1" s="111">
      <c r="A2" s="160" t="inlineStr">
        <is>
          <t>Per financial modeling convention: BLUE TEXT = inputs  |  BLACK TEXT = formulas</t>
        </is>
      </c>
    </row>
    <row r="3" ht="19.5" customHeight="1" s="111">
      <c r="A3" s="161" t="inlineStr">
        <is>
          <t>PRICING</t>
        </is>
      </c>
    </row>
    <row r="4" ht="21.75" customHeight="1" s="111">
      <c r="A4" s="162" t="inlineStr">
        <is>
          <t>Sell Price per Book ($)</t>
        </is>
      </c>
      <c r="B4" s="163" t="n">
        <v>30</v>
      </c>
      <c r="C4" s="164" t="n"/>
      <c r="D4" s="165" t="inlineStr">
        <is>
          <t>Recommended: $30. Adjust here to model other prices.</t>
        </is>
      </c>
    </row>
    <row r="5" ht="19.5" customHeight="1" s="111">
      <c r="A5" s="161" t="inlineStr">
        <is>
          <t>SALES VOLUME</t>
        </is>
      </c>
    </row>
    <row r="6" ht="21.75" customHeight="1" s="111">
      <c r="A6" s="162" t="inlineStr">
        <is>
          <t>Target Books Sold</t>
        </is>
      </c>
      <c r="B6" s="166" t="n">
        <v>500</v>
      </c>
      <c r="C6" s="164" t="n"/>
      <c r="D6" s="165" t="inlineStr">
        <is>
          <t>Base case. Change to model scenarios.</t>
        </is>
      </c>
    </row>
    <row r="7" ht="19.5" customHeight="1" s="111">
      <c r="A7" s="161" t="inlineStr">
        <is>
          <t>PERCEIVED VALUE</t>
        </is>
      </c>
    </row>
    <row r="8" ht="21.75" customHeight="1" s="111">
      <c r="A8" s="162" t="inlineStr">
        <is>
          <t>Estimated in-book savings value ($)</t>
        </is>
      </c>
      <c r="B8" s="163" t="n">
        <v>500</v>
      </c>
      <c r="C8" s="164" t="n"/>
      <c r="D8" s="165" t="inlineStr">
        <is>
          <t>Conservative estimate; actual may exceed $700+</t>
        </is>
      </c>
    </row>
    <row r="9" ht="21.75" customHeight="1" s="111">
      <c r="A9" s="162" t="inlineStr">
        <is>
          <t>Value-to-Price ratio</t>
        </is>
      </c>
      <c r="B9" s="167">
        <f>B7/B4</f>
        <v/>
      </c>
      <c r="C9" s="164" t="n"/>
      <c r="D9" s="165" t="inlineStr">
        <is>
          <t>How many times the price the buyer gets back in savings</t>
        </is>
      </c>
    </row>
    <row r="10" ht="19.5" customHeight="1" s="111">
      <c r="A10" s="161" t="inlineStr">
        <is>
          <t>REVENUE</t>
        </is>
      </c>
    </row>
    <row r="11" ht="21.75" customHeight="1" s="111">
      <c r="A11" s="162" t="inlineStr">
        <is>
          <t>Gross Revenue ($)</t>
        </is>
      </c>
      <c r="B11" s="168">
        <f>B4*B5</f>
        <v/>
      </c>
      <c r="C11" s="164" t="n"/>
      <c r="D11" s="165" t="inlineStr">
        <is>
          <t>Sell price x books sold</t>
        </is>
      </c>
    </row>
    <row r="12" ht="19.5" customHeight="1" s="111">
      <c r="A12" s="161" t="inlineStr">
        <is>
          <t>COSTS</t>
        </is>
      </c>
    </row>
    <row r="13" ht="21.75" customHeight="1" s="111">
      <c r="A13" s="162" t="inlineStr">
        <is>
          <t>Payment processing per book ($)</t>
        </is>
      </c>
      <c r="B13" s="168">
        <f>B4*0.029+0.3</f>
        <v/>
      </c>
      <c r="C13" s="164" t="n"/>
      <c r="D13" s="165" t="inlineStr">
        <is>
          <t>2.9% + $0.30 (Stripe/PayPal standard rate)</t>
        </is>
      </c>
    </row>
    <row r="14" ht="21.75" customHeight="1" s="111">
      <c r="A14" s="162" t="inlineStr">
        <is>
          <t>Processing total ($)</t>
        </is>
      </c>
      <c r="B14" s="168">
        <f>B12*B5</f>
        <v/>
      </c>
      <c r="C14" s="164" t="n"/>
      <c r="D14" s="165" t="inlineStr">
        <is>
          <t>Per-book rate x books sold</t>
        </is>
      </c>
    </row>
    <row r="15" ht="21.75" customHeight="1" s="111">
      <c r="A15" s="162" t="inlineStr">
        <is>
          <t>Digital platform / hosting annual ($)</t>
        </is>
      </c>
      <c r="B15" s="163" t="n">
        <v>0</v>
      </c>
      <c r="C15" s="164" t="n"/>
      <c r="D15" s="165" t="inlineStr">
        <is>
          <t>Set to 0 if using Google Drive / free tools; up to $150 for dedicated platform</t>
        </is>
      </c>
    </row>
    <row r="16" ht="21.75" customHeight="1" s="111">
      <c r="A16" s="162" t="inlineStr">
        <is>
          <t>Design cost ($)</t>
        </is>
      </c>
      <c r="B16" s="163" t="n">
        <v>0</v>
      </c>
      <c r="C16" s="164" t="n"/>
      <c r="D16" s="165" t="inlineStr">
        <is>
          <t>Set to 0 if using Canva free + volunteer; otherwise budget $200-400</t>
        </is>
      </c>
    </row>
    <row r="17" ht="21.75" customHeight="1" s="111">
      <c r="A17" s="162" t="inlineStr">
        <is>
          <t>Social media ad budget ($)</t>
        </is>
      </c>
      <c r="B17" s="163" t="n">
        <v>150</v>
      </c>
      <c r="C17" s="164" t="n"/>
      <c r="D17" s="165" t="inlineStr">
        <is>
          <t>Optional paid promotion; $150 is a minimal effective budget</t>
        </is>
      </c>
    </row>
    <row r="18" ht="21.75" customHeight="1" s="111">
      <c r="A18" s="162" t="inlineStr">
        <is>
          <t>Misc (QR, email platform, comms) ($)</t>
        </is>
      </c>
      <c r="B18" s="163" t="n">
        <v>50</v>
      </c>
      <c r="C18" s="164" t="n"/>
      <c r="D18" s="165" t="inlineStr">
        <is>
          <t>Buffer for small expenses</t>
        </is>
      </c>
    </row>
    <row r="19" ht="21.75" customHeight="1" s="111">
      <c r="A19" s="162" t="inlineStr">
        <is>
          <t>Total Costs ($)</t>
        </is>
      </c>
      <c r="B19" s="168">
        <f>B13+B14+B15+B16+B17</f>
        <v/>
      </c>
      <c r="C19" s="164" t="n"/>
      <c r="D19" s="165" t="inlineStr">
        <is>
          <t>Sum of all costs</t>
        </is>
      </c>
    </row>
    <row r="20" ht="21.75" customHeight="1" s="111">
      <c r="A20" s="162" t="inlineStr">
        <is>
          <t>Cost per book ($)</t>
        </is>
      </c>
      <c r="B20" s="168">
        <f>IFERROR(B18/B5,0)</f>
        <v/>
      </c>
      <c r="C20" s="164" t="n"/>
      <c r="D20" s="165" t="inlineStr">
        <is>
          <t>Total costs divided by books sold</t>
        </is>
      </c>
    </row>
    <row r="21" ht="19.5" customHeight="1" s="111">
      <c r="A21" s="161" t="inlineStr">
        <is>
          <t>PROFIT</t>
        </is>
      </c>
    </row>
    <row r="22" ht="21.75" customHeight="1" s="111">
      <c r="A22" s="162" t="inlineStr">
        <is>
          <t>Net Profit ($)</t>
        </is>
      </c>
      <c r="B22" s="168">
        <f>B10-B18</f>
        <v/>
      </c>
      <c r="C22" s="164" t="n"/>
      <c r="D22" s="165" t="inlineStr">
        <is>
          <t>Gross Revenue minus Total Costs</t>
        </is>
      </c>
    </row>
    <row r="23" ht="21.75" customHeight="1" s="111">
      <c r="A23" s="162" t="inlineStr">
        <is>
          <t>Net Profit per book ($)</t>
        </is>
      </c>
      <c r="B23" s="168">
        <f>IFERROR(B21/B5,0)</f>
        <v/>
      </c>
      <c r="C23" s="164" t="n"/>
      <c r="D23" s="165" t="inlineStr">
        <is>
          <t>Net profit per book sold</t>
        </is>
      </c>
    </row>
    <row r="24" ht="21.75" customHeight="1" s="111">
      <c r="A24" s="162" t="inlineStr">
        <is>
          <t>Profit margin (%)</t>
        </is>
      </c>
      <c r="B24" s="169">
        <f>IFERROR(B21/B10,0)</f>
        <v/>
      </c>
      <c r="C24" s="164" t="n"/>
      <c r="D24" s="165" t="inlineStr">
        <is>
          <t>Net profit as % of revenue</t>
        </is>
      </c>
    </row>
  </sheetData>
  <mergeCells count="8">
    <mergeCell ref="A1:D1"/>
    <mergeCell ref="A5:D5"/>
    <mergeCell ref="A12:D12"/>
    <mergeCell ref="A3:D3"/>
    <mergeCell ref="A21:D21"/>
    <mergeCell ref="A7:D7"/>
    <mergeCell ref="A2:D2"/>
    <mergeCell ref="A10:D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26" customWidth="1" style="110" min="1" max="1"/>
    <col width="18" customWidth="1" style="110" min="2" max="5"/>
  </cols>
  <sheetData>
    <row r="1" ht="30" customHeight="1" s="111">
      <c r="A1" s="159" t="inlineStr">
        <is>
          <t>Scenario Model — All scenarios at $30 sell price</t>
        </is>
      </c>
    </row>
    <row r="2" ht="39.75" customHeight="1" s="111">
      <c r="A2" s="170" t="inlineStr">
        <is>
          <t>Metric</t>
        </is>
      </c>
      <c r="B2" s="171" t="inlineStr">
        <is>
          <t>Conservative
100 books</t>
        </is>
      </c>
      <c r="C2" s="172" t="inlineStr">
        <is>
          <t>Base Case
500 books</t>
        </is>
      </c>
      <c r="D2" s="173" t="inlineStr">
        <is>
          <t>Optimistic
750 books</t>
        </is>
      </c>
      <c r="E2" s="174" t="inlineStr">
        <is>
          <t>Stretch
1,000 books</t>
        </is>
      </c>
    </row>
    <row r="3" ht="21.75" customHeight="1" s="111">
      <c r="A3" s="162" t="inlineStr">
        <is>
          <t>Sell price ($)</t>
        </is>
      </c>
      <c r="B3" s="175" t="n">
        <v>30</v>
      </c>
      <c r="C3" s="175" t="n">
        <v>30</v>
      </c>
      <c r="D3" s="175" t="n">
        <v>30</v>
      </c>
      <c r="E3" s="175" t="n">
        <v>30</v>
      </c>
    </row>
    <row r="4" ht="21.75" customHeight="1" s="111">
      <c r="A4" s="176" t="inlineStr">
        <is>
          <t>Books sold</t>
        </is>
      </c>
      <c r="B4" s="177" t="n">
        <v>100</v>
      </c>
      <c r="C4" s="177" t="n">
        <v>500</v>
      </c>
      <c r="D4" s="177" t="n">
        <v>750</v>
      </c>
      <c r="E4" s="177" t="n">
        <v>1000</v>
      </c>
    </row>
    <row r="5" ht="21.75" customHeight="1" s="111">
      <c r="A5" s="178" t="inlineStr">
        <is>
          <t>Gross revenue ($)</t>
        </is>
      </c>
      <c r="B5" s="179">
        <f>B3*B4</f>
        <v/>
      </c>
      <c r="C5" s="179">
        <f>C3*C4</f>
        <v/>
      </c>
      <c r="D5" s="179">
        <f>D3*D4</f>
        <v/>
      </c>
      <c r="E5" s="179">
        <f>E3*E4</f>
        <v/>
      </c>
    </row>
    <row r="6" ht="21.75" customHeight="1" s="111">
      <c r="A6" s="176" t="inlineStr">
        <is>
          <t>Payment processing ($)</t>
        </is>
      </c>
      <c r="B6" s="128">
        <f>B4*B3*0.029+B4*0.3</f>
        <v/>
      </c>
      <c r="C6" s="128">
        <f>C4*C3*0.029+C4*0.3</f>
        <v/>
      </c>
      <c r="D6" s="128">
        <f>D4*D3*0.029+D4*0.3</f>
        <v/>
      </c>
      <c r="E6" s="128">
        <f>E4*E3*0.029+E4*0.3</f>
        <v/>
      </c>
    </row>
    <row r="7" ht="21.75" customHeight="1" s="111">
      <c r="A7" s="162" t="inlineStr">
        <is>
          <t>Platform / hosting ($)</t>
        </is>
      </c>
      <c r="B7" s="180" t="n">
        <v>0</v>
      </c>
      <c r="C7" s="180" t="n">
        <v>0</v>
      </c>
      <c r="D7" s="180" t="n">
        <v>100</v>
      </c>
      <c r="E7" s="180" t="n">
        <v>150</v>
      </c>
    </row>
    <row r="8" ht="21.75" customHeight="1" s="111">
      <c r="A8" s="176" t="inlineStr">
        <is>
          <t>Design ($)</t>
        </is>
      </c>
      <c r="B8" s="177" t="n">
        <v>0</v>
      </c>
      <c r="C8" s="177" t="n">
        <v>0</v>
      </c>
      <c r="D8" s="177" t="n">
        <v>0</v>
      </c>
      <c r="E8" s="177" t="n">
        <v>200</v>
      </c>
    </row>
    <row r="9" ht="21.75" customHeight="1" s="111">
      <c r="A9" s="162" t="inlineStr">
        <is>
          <t>Ad spend ($)</t>
        </is>
      </c>
      <c r="B9" s="180" t="n">
        <v>50</v>
      </c>
      <c r="C9" s="180" t="n">
        <v>150</v>
      </c>
      <c r="D9" s="180" t="n">
        <v>200</v>
      </c>
      <c r="E9" s="180" t="n">
        <v>300</v>
      </c>
    </row>
    <row r="10" ht="21.75" customHeight="1" s="111">
      <c r="A10" s="181" t="inlineStr">
        <is>
          <t>Misc ($)</t>
        </is>
      </c>
      <c r="B10" s="182" t="n">
        <v>25</v>
      </c>
      <c r="C10" s="182" t="n">
        <v>50</v>
      </c>
      <c r="D10" s="182" t="n">
        <v>75</v>
      </c>
      <c r="E10" s="182" t="n">
        <v>100</v>
      </c>
    </row>
    <row r="11" ht="21.75" customHeight="1" s="111">
      <c r="A11" s="178" t="inlineStr">
        <is>
          <t>Total costs ($)</t>
        </is>
      </c>
      <c r="B11" s="183">
        <f>SUM(B6:B9)</f>
        <v/>
      </c>
      <c r="C11" s="183">
        <f>SUM(C6:C9)</f>
        <v/>
      </c>
      <c r="D11" s="183">
        <f>SUM(D6:D9)</f>
        <v/>
      </c>
      <c r="E11" s="183">
        <f>SUM(E6:E9)</f>
        <v/>
      </c>
    </row>
    <row r="12" ht="21.75" customHeight="1" s="111">
      <c r="A12" s="176" t="inlineStr">
        <is>
          <t>Net profit ($)</t>
        </is>
      </c>
      <c r="B12" s="140">
        <f>B5-B10</f>
        <v/>
      </c>
      <c r="C12" s="140">
        <f>C5-C10</f>
        <v/>
      </c>
      <c r="D12" s="140">
        <f>D5-D10</f>
        <v/>
      </c>
      <c r="E12" s="140">
        <f>E5-E10</f>
        <v/>
      </c>
    </row>
    <row r="13" ht="21.75" customHeight="1" s="111">
      <c r="A13" s="162" t="inlineStr">
        <is>
          <t>Net profit per book ($)</t>
        </is>
      </c>
      <c r="B13" s="184">
        <f>IFERROR(B11/B4,0)</f>
        <v/>
      </c>
      <c r="C13" s="184">
        <f>IFERROR(C11/C4,0)</f>
        <v/>
      </c>
      <c r="D13" s="184">
        <f>IFERROR(D11/D4,0)</f>
        <v/>
      </c>
      <c r="E13" s="184">
        <f>IFERROR(E11/E4,0)</f>
        <v/>
      </c>
    </row>
    <row r="14" ht="21.75" customHeight="1" s="111">
      <c r="A14" s="176" t="inlineStr">
        <is>
          <t>Profit margin (%)</t>
        </is>
      </c>
      <c r="B14" s="185">
        <f>IFERROR(B11/B5,0)</f>
        <v/>
      </c>
      <c r="C14" s="185">
        <f>IFERROR(C11/C5,0)</f>
        <v/>
      </c>
      <c r="D14" s="185">
        <f>IFERROR(D11/D5,0)</f>
        <v/>
      </c>
      <c r="E14" s="185">
        <f>IFERROR(E11/E5,0)</f>
        <v/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10" min="1" max="1"/>
    <col width="18" customWidth="1" style="110" min="2" max="2"/>
    <col width="22" customWidth="1" style="110" min="3" max="3"/>
    <col width="60" customWidth="1" style="110" min="4" max="4"/>
    <col width="16" customWidth="1" style="110" min="5" max="5"/>
    <col width="14" customWidth="1" style="110" min="6" max="6"/>
  </cols>
  <sheetData>
    <row r="1" ht="30" customHeight="1" s="111">
      <c r="A1" s="159" t="inlineStr">
        <is>
          <t>Jr Lions Community Savings Book — Campaign Timeline</t>
        </is>
      </c>
    </row>
    <row r="2" ht="21.75" customHeight="1" s="111">
      <c r="A2" s="125" t="inlineStr">
        <is>
          <t>Week</t>
        </is>
      </c>
      <c r="B2" s="125" t="inlineStr">
        <is>
          <t>Date Range</t>
        </is>
      </c>
      <c r="C2" s="125" t="inlineStr">
        <is>
          <t>Phase</t>
        </is>
      </c>
      <c r="D2" s="125" t="inlineStr">
        <is>
          <t>Key Actions</t>
        </is>
      </c>
      <c r="E2" s="125" t="inlineStr">
        <is>
          <t>Owner</t>
        </is>
      </c>
      <c r="F2" s="125" t="inlineStr">
        <is>
          <t>Status</t>
        </is>
      </c>
    </row>
    <row r="3" ht="42" customHeight="1" s="111">
      <c r="A3" s="186" t="n">
        <v>1</v>
      </c>
      <c r="B3" s="187" t="inlineStr">
        <is>
          <t>May 21–26</t>
        </is>
      </c>
      <c r="C3" s="188" t="inlineStr">
        <is>
          <t>Setup</t>
        </is>
      </c>
      <c r="D3" s="187" t="inlineStr">
        <is>
          <t>Decide book name, configure payment link (Stripe/Gumroad), create social handles if needed. Build partner tracker.</t>
        </is>
      </c>
      <c r="E3" s="187" t="inlineStr">
        <is>
          <t>Program Director</t>
        </is>
      </c>
      <c r="F3" s="189" t="inlineStr">
        <is>
          <t>Not Started</t>
        </is>
      </c>
    </row>
    <row r="4" ht="42" customHeight="1" s="111">
      <c r="A4" s="190" t="n">
        <v>2</v>
      </c>
      <c r="B4" s="191" t="inlineStr">
        <is>
          <t>May 27–Jun 1</t>
        </is>
      </c>
      <c r="C4" s="192" t="inlineStr">
        <is>
          <t>Anchor Outreach</t>
        </is>
      </c>
      <c r="D4" s="191" t="inlineStr">
        <is>
          <t>Send personalized emails to Heron Glen, GolfCave, Buffalo Wild Wings, Shammy Shine. Call each by Day 4.</t>
        </is>
      </c>
      <c r="E4" s="191" t="inlineStr">
        <is>
          <t>Program Director</t>
        </is>
      </c>
      <c r="F4" s="193" t="inlineStr">
        <is>
          <t>Not Started</t>
        </is>
      </c>
    </row>
    <row r="5" ht="42" customHeight="1" s="111">
      <c r="A5" s="190" t="n">
        <v>3</v>
      </c>
      <c r="B5" s="191" t="inlineStr">
        <is>
          <t>Jun 2–8</t>
        </is>
      </c>
      <c r="C5" s="192" t="inlineStr">
        <is>
          <t>Broad Outreach</t>
        </is>
      </c>
      <c r="D5" s="191" t="inlineStr">
        <is>
          <t>Send all remaining outreach emails. Log everything in tracker. Follow up anchors.</t>
        </is>
      </c>
      <c r="E5" s="191" t="inlineStr">
        <is>
          <t>Program Director</t>
        </is>
      </c>
      <c r="F5" s="193" t="inlineStr">
        <is>
          <t>Not Started</t>
        </is>
      </c>
    </row>
    <row r="6" ht="42" customHeight="1" s="111">
      <c r="A6" s="194" t="n">
        <v>4</v>
      </c>
      <c r="B6" s="195" t="inlineStr">
        <is>
          <t>Jun 9–15</t>
        </is>
      </c>
      <c r="C6" s="196" t="inlineStr">
        <is>
          <t>Secure Commitments</t>
        </is>
      </c>
      <c r="D6" s="195" t="inlineStr">
        <is>
          <t>Convert verbal yes contacts to written confirmations. Collect exact offer language and any restrictions.</t>
        </is>
      </c>
      <c r="E6" s="195" t="inlineStr">
        <is>
          <t>Program Director</t>
        </is>
      </c>
      <c r="F6" s="197" t="inlineStr">
        <is>
          <t>Not Started</t>
        </is>
      </c>
    </row>
    <row r="7" ht="42" customHeight="1" s="111">
      <c r="A7" s="198" t="n">
        <v>5</v>
      </c>
      <c r="B7" s="199" t="inlineStr">
        <is>
          <t>Jun 16–22</t>
        </is>
      </c>
      <c r="C7" s="200" t="inlineStr">
        <is>
          <t>Content Creation</t>
        </is>
      </c>
      <c r="D7" s="199" t="inlineStr">
        <is>
          <t>Design digital coupon pages (Canva). Draft all social media posts. Set up email list.</t>
        </is>
      </c>
      <c r="E7" s="199" t="inlineStr">
        <is>
          <t>Program Director</t>
        </is>
      </c>
      <c r="F7" s="201" t="inlineStr">
        <is>
          <t>Not Started</t>
        </is>
      </c>
    </row>
    <row r="8" ht="42" customHeight="1" s="111">
      <c r="A8" s="202" t="n">
        <v>6</v>
      </c>
      <c r="B8" s="203" t="inlineStr">
        <is>
          <t>Jun 23–29</t>
        </is>
      </c>
      <c r="C8" s="204" t="inlineStr">
        <is>
          <t>Soft Launch Prep</t>
        </is>
      </c>
      <c r="D8" s="203" t="inlineStr">
        <is>
          <t>Build digital book / landing page. QR code. Test payment flow. Brief team on social strategy.</t>
        </is>
      </c>
      <c r="E8" s="203" t="inlineStr">
        <is>
          <t>Program Director</t>
        </is>
      </c>
      <c r="F8" s="205" t="inlineStr">
        <is>
          <t>Not Started</t>
        </is>
      </c>
    </row>
    <row r="9" ht="42" customHeight="1" s="111">
      <c r="A9" s="206" t="n">
        <v>7</v>
      </c>
      <c r="B9" s="207" t="inlineStr">
        <is>
          <t>Jun 30–Jul 6</t>
        </is>
      </c>
      <c r="C9" s="208" t="inlineStr">
        <is>
          <t>LAUNCH 🚀</t>
        </is>
      </c>
      <c r="D9" s="207" t="inlineStr">
        <is>
          <t>Publish digital book. Launch social campaign. Email community list. Post partner spotlights.</t>
        </is>
      </c>
      <c r="E9" s="207" t="inlineStr">
        <is>
          <t>Program Director</t>
        </is>
      </c>
      <c r="F9" s="209" t="inlineStr">
        <is>
          <t>Not Started</t>
        </is>
      </c>
    </row>
    <row r="10" ht="42" customHeight="1" s="111">
      <c r="A10" s="210" t="n">
        <v>8</v>
      </c>
      <c r="B10" s="211" t="inlineStr">
        <is>
          <t>Jul 7–20</t>
        </is>
      </c>
      <c r="C10" s="212" t="inlineStr">
        <is>
          <t>Active Campaign</t>
        </is>
      </c>
      <c r="D10" s="211" t="inlineStr">
        <is>
          <t>Weekly social posts. Partner spotlight series. Respond to questions. Track sales daily.</t>
        </is>
      </c>
      <c r="E10" s="211" t="inlineStr">
        <is>
          <t>Program Director</t>
        </is>
      </c>
      <c r="F10" s="213" t="inlineStr">
        <is>
          <t>Not Started</t>
        </is>
      </c>
    </row>
    <row r="11" ht="42" customHeight="1" s="111">
      <c r="A11" s="210" t="n">
        <v>9</v>
      </c>
      <c r="B11" s="211" t="inlineStr">
        <is>
          <t>Jul 21–Aug 3</t>
        </is>
      </c>
      <c r="C11" s="212" t="inlineStr">
        <is>
          <t>Mid-Campaign Push</t>
        </is>
      </c>
      <c r="D11" s="211" t="inlineStr">
        <is>
          <t>Post savings stories. Share how much raised so far. Drive urgency with countdown.</t>
        </is>
      </c>
      <c r="E11" s="211" t="inlineStr">
        <is>
          <t>Program Director</t>
        </is>
      </c>
      <c r="F11" s="213" t="inlineStr">
        <is>
          <t>Not Started</t>
        </is>
      </c>
    </row>
    <row r="12" ht="42" customHeight="1" s="111">
      <c r="A12" s="214" t="n">
        <v>10</v>
      </c>
      <c r="B12" s="215" t="inlineStr">
        <is>
          <t>Aug 4–17</t>
        </is>
      </c>
      <c r="C12" s="216" t="inlineStr">
        <is>
          <t>Renewal &amp; Push</t>
        </is>
      </c>
      <c r="D12" s="215" t="inlineStr">
        <is>
          <t>Remind community. Consider flash deal. Reach out to any partners not yet confirmed.</t>
        </is>
      </c>
      <c r="E12" s="215" t="inlineStr">
        <is>
          <t>Program Director</t>
        </is>
      </c>
      <c r="F12" s="217" t="inlineStr">
        <is>
          <t>Not Started</t>
        </is>
      </c>
    </row>
    <row r="13" ht="42" customHeight="1" s="111">
      <c r="A13" s="214" t="n">
        <v>11</v>
      </c>
      <c r="B13" s="215" t="inlineStr">
        <is>
          <t>Aug 18–31</t>
        </is>
      </c>
      <c r="C13" s="216" t="inlineStr">
        <is>
          <t>Final Stretch</t>
        </is>
      </c>
      <c r="D13" s="215" t="inlineStr">
        <is>
          <t>Last push messaging. Announce total raised milestone. Close first sales window.</t>
        </is>
      </c>
      <c r="E13" s="215" t="inlineStr">
        <is>
          <t>Program Director</t>
        </is>
      </c>
      <c r="F13" s="217" t="inlineStr">
        <is>
          <t>Not Started</t>
        </is>
      </c>
    </row>
    <row r="14" ht="42" customHeight="1" s="111">
      <c r="A14" s="218" t="n">
        <v>12</v>
      </c>
      <c r="B14" s="219" t="inlineStr">
        <is>
          <t>Sep 1–7</t>
        </is>
      </c>
      <c r="C14" s="220" t="inlineStr">
        <is>
          <t>Season Restart Push</t>
        </is>
      </c>
      <c r="D14" s="219" t="inlineStr">
        <is>
          <t>Re-launch as fall season begins. New round of social posts. Re-open sales if applicable.</t>
        </is>
      </c>
      <c r="E14" s="219" t="inlineStr">
        <is>
          <t>Program Director</t>
        </is>
      </c>
      <c r="F14" s="221" t="inlineStr">
        <is>
          <t>Not Started</t>
        </is>
      </c>
    </row>
  </sheetData>
  <mergeCells count="1">
    <mergeCell ref="A1:F1"/>
  </mergeCells>
  <dataValidations count="1">
    <dataValidation sqref="F3:F30" showDropDown="0" showInputMessage="0" showErrorMessage="0" allowBlank="0" type="list" errorStyle="stop" operator="between">
      <formula1>"Not Started,In Progress,Complete,Blocked"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2026-05-21T12:08:11Z</dcterms:created>
  <dcterms:modified xmlns:dcterms="http://purl.org/dc/terms/" xmlns:xsi="http://www.w3.org/2001/XMLSchema-instance" xsi:type="dcterms:W3CDTF">2026-05-21T12:08:26Z</dcterms:modified>
  <cp:revision>0</cp:revision>
</cp:coreProperties>
</file>