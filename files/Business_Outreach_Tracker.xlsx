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Business List" sheetId="2" state="visible" r:id="rId4"/>
    <sheet name="Email Log" sheetId="3" state="visible" r:id="rId5"/>
    <sheet name="Confirmed Partn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<sst xmlns="http://schemas.openxmlformats.org/spreadsheetml/2006/main" count="254" uniqueCount="189">
  <si>
    <t xml:space="preserve">Jr Lions Lacrosse — Community Savings Book  |  Business Partner Dashboard</t>
  </si>
  <si>
    <t xml:space="preserve">Live status pulled from Business List sheet  •  Last updated: update this date when you open the file</t>
  </si>
  <si>
    <t xml:space="preserve">TOTAL TARGETS</t>
  </si>
  <si>
    <t xml:space="preserve">CONTACTED</t>
  </si>
  <si>
    <t xml:space="preserve">VERBAL YES</t>
  </si>
  <si>
    <t xml:space="preserve">CONFIRMED</t>
  </si>
  <si>
    <t xml:space="preserve">DECLINED</t>
  </si>
  <si>
    <t xml:space="preserve">% CONFIRMED</t>
  </si>
  <si>
    <t xml:space="preserve">CATEGORY BREAKDOWN</t>
  </si>
  <si>
    <t xml:space="preserve">PRIORITY ACTION LIST</t>
  </si>
  <si>
    <t xml:space="preserve">Category</t>
  </si>
  <si>
    <t xml:space="preserve">Targets</t>
  </si>
  <si>
    <t xml:space="preserve">Confirmed</t>
  </si>
  <si>
    <t xml:space="preserve">1  Send anchor emails: Heron Glen, GolfCave, BWW</t>
  </si>
  <si>
    <t xml:space="preserve">Golf Courses</t>
  </si>
  <si>
    <t xml:space="preserve">2  Call Shammy Shine management (multi-location deal)</t>
  </si>
  <si>
    <t xml:space="preserve">Simulators</t>
  </si>
  <si>
    <t xml:space="preserve">3  Follow up any contact &gt; 5 days with no reply</t>
  </si>
  <si>
    <t xml:space="preserve">Restaurants</t>
  </si>
  <si>
    <t xml:space="preserve">4  Move any Verbal Yes to written confirmation</t>
  </si>
  <si>
    <t xml:space="preserve">Car Washes</t>
  </si>
  <si>
    <t xml:space="preserve">5  Set offer details &amp; restrictions for each Confirmed</t>
  </si>
  <si>
    <t xml:space="preserve">Family Entertainment</t>
  </si>
  <si>
    <t xml:space="preserve">6  Build digital coupon page once 10+ partners confirmed</t>
  </si>
  <si>
    <t xml:space="preserve">7  Schedule social media launch posts</t>
  </si>
  <si>
    <t xml:space="preserve">8  Open payment / pre-order link</t>
  </si>
  <si>
    <t xml:space="preserve">Jr Lions Lacrosse — Business Partner Outreach Tracker</t>
  </si>
  <si>
    <t xml:space="preserve">Business Name</t>
  </si>
  <si>
    <t xml:space="preserve">Address</t>
  </si>
  <si>
    <t xml:space="preserve">Phone</t>
  </si>
  <si>
    <t xml:space="preserve">Key Contact</t>
  </si>
  <si>
    <t xml:space="preserve">Email</t>
  </si>
  <si>
    <t xml:space="preserve">Status</t>
  </si>
  <si>
    <t xml:space="preserve">Date Contacted</t>
  </si>
  <si>
    <t xml:space="preserve">Follow-Up Date</t>
  </si>
  <si>
    <t xml:space="preserve">Offer Details</t>
  </si>
  <si>
    <t xml:space="preserve">Restrictions/Expiry</t>
  </si>
  <si>
    <t xml:space="preserve">Notes</t>
  </si>
  <si>
    <t xml:space="preserve">Heron Glen Golf Course</t>
  </si>
  <si>
    <t xml:space="preserve">Golf Course</t>
  </si>
  <si>
    <t xml:space="preserve">Heron Glen Dr, Ringoes, NJ 08551</t>
  </si>
  <si>
    <t xml:space="preserve">908-806-6804</t>
  </si>
  <si>
    <t xml:space="preserve">Pro Shop / GM</t>
  </si>
  <si>
    <t xml:space="preserve">Not Started</t>
  </si>
  <si>
    <t xml:space="preserve">Anchor. County-run, community pitch strong.</t>
  </si>
  <si>
    <t xml:space="preserve">High Bridge Hills Golf Club</t>
  </si>
  <si>
    <t xml:space="preserve">203 Cregar Rd, High Bridge, NJ 08829</t>
  </si>
  <si>
    <t xml:space="preserve">908-638-5055</t>
  </si>
  <si>
    <t xml:space="preserve">GM / Owner</t>
  </si>
  <si>
    <t xml:space="preserve">Twilight + range bucket offer.</t>
  </si>
  <si>
    <t xml:space="preserve">Neshanic Valley Golf Course</t>
  </si>
  <si>
    <t xml:space="preserve">2301 S Branch Rd, Neshanic Station, NJ 08853</t>
  </si>
  <si>
    <t xml:space="preserve">908-369-8200</t>
  </si>
  <si>
    <t xml:space="preserve">GM / County Contact</t>
  </si>
  <si>
    <t xml:space="preserve">County course; Academy loop great for families.</t>
  </si>
  <si>
    <t xml:space="preserve">Harkers Hollow Golf Club</t>
  </si>
  <si>
    <t xml:space="preserve">950 Uniontown Rd, Phillipsburg, NJ 08865</t>
  </si>
  <si>
    <t xml:space="preserve">908-454-1884</t>
  </si>
  <si>
    <t xml:space="preserve">Public + events venue; twilight + food credit.</t>
  </si>
  <si>
    <t xml:space="preserve">Beaver Brook Country Club</t>
  </si>
  <si>
    <t xml:space="preserve">25 Country Club Dr, Annandale, NJ 08801</t>
  </si>
  <si>
    <t xml:space="preserve">908-735-4200</t>
  </si>
  <si>
    <t xml:space="preserve">GM</t>
  </si>
  <si>
    <t xml:space="preserve">Semi-private; accepts public play.</t>
  </si>
  <si>
    <t xml:space="preserve">Fox Hollow Golf Club</t>
  </si>
  <si>
    <t xml:space="preserve">59 Fox Chase Run, Branchburg, NJ 08876</t>
  </si>
  <si>
    <t xml:space="preserve">908-526-0010</t>
  </si>
  <si>
    <t xml:space="preserve">GM / Pro Shop</t>
  </si>
  <si>
    <t xml:space="preserve">Semi-private; public access.</t>
  </si>
  <si>
    <t xml:space="preserve">Paradise Golf Driving Range</t>
  </si>
  <si>
    <t xml:space="preserve">56 NJ-12, Flemington, NJ 08822</t>
  </si>
  <si>
    <t xml:space="preserve">908-788-3786</t>
  </si>
  <si>
    <t xml:space="preserve">Owner (Rob)</t>
  </si>
  <si>
    <t xml:space="preserve">Range + mini golf; free bucket offer.</t>
  </si>
  <si>
    <t xml:space="preserve">GolfCave</t>
  </si>
  <si>
    <t xml:space="preserve">Indoor Simulator</t>
  </si>
  <si>
    <t xml:space="preserve">176 US-202, Ringoes, NJ 08551</t>
  </si>
  <si>
    <t xml:space="preserve">908-615-2283</t>
  </si>
  <si>
    <t xml:space="preserve">Matt (Manager)</t>
  </si>
  <si>
    <t xml:space="preserve">Anchor sim; Trackman; membership model.</t>
  </si>
  <si>
    <t xml:space="preserve">Tee Box Golf House</t>
  </si>
  <si>
    <t xml:space="preserve">137 Mountain View Rd, Hillsborough, NJ 08844</t>
  </si>
  <si>
    <t xml:space="preserve">908-292-0992</t>
  </si>
  <si>
    <t xml:space="preserve">Owner (Travis)</t>
  </si>
  <si>
    <t xml:space="preserve">Trackman; weekday daytime slots.</t>
  </si>
  <si>
    <t xml:space="preserve">The Back Nine Golf</t>
  </si>
  <si>
    <t xml:space="preserve">301 N Harrison St, Princeton, NJ 08540</t>
  </si>
  <si>
    <t xml:space="preserve">609-380-9997</t>
  </si>
  <si>
    <t xml:space="preserve">24hrs; BYOB; 4 bays.</t>
  </si>
  <si>
    <t xml:space="preserve">Birds Nest / Golf at the Nest</t>
  </si>
  <si>
    <t xml:space="preserve">415 York Rd #6, New Hope, PA 18938</t>
  </si>
  <si>
    <t xml:space="preserve">267-740-7913</t>
  </si>
  <si>
    <t xml:space="preserve">Sim + bar/grille; bundle bay+appetizer.</t>
  </si>
  <si>
    <t xml:space="preserve">The Bunker</t>
  </si>
  <si>
    <t xml:space="preserve">500 Schooleys Mountain Rd, Hackettstown, NJ 07840</t>
  </si>
  <si>
    <t xml:space="preserve">908-979-0366</t>
  </si>
  <si>
    <t xml:space="preserve">Owner</t>
  </si>
  <si>
    <t xml:space="preserve">North county reach.</t>
  </si>
  <si>
    <t xml:space="preserve">Buffalo Wild Wings (Flemington)</t>
  </si>
  <si>
    <t xml:space="preserve">Restaurant / BWW</t>
  </si>
  <si>
    <t xml:space="preserve">144 NJ-31 Suite 100, Flemington, NJ 08822</t>
  </si>
  <si>
    <t xml:space="preserve">908-483-2300</t>
  </si>
  <si>
    <t xml:space="preserve">General Manager</t>
  </si>
  <si>
    <t xml:space="preserve">Anchor restaurant. Ask for GM directly.</t>
  </si>
  <si>
    <t xml:space="preserve">Frank's Pizza &amp; Italian</t>
  </si>
  <si>
    <t xml:space="preserve">Restaurant</t>
  </si>
  <si>
    <t xml:space="preserve">67 Walmart Plz, Clinton, NJ 08809</t>
  </si>
  <si>
    <t xml:space="preserve">908-735-9293</t>
  </si>
  <si>
    <t xml:space="preserve">Owner / Manager</t>
  </si>
  <si>
    <t xml:space="preserve">Family Italian; strong takeout.</t>
  </si>
  <si>
    <t xml:space="preserve">SV Pizzeria</t>
  </si>
  <si>
    <t xml:space="preserve">20 Leigh St, Clinton, NJ 08809</t>
  </si>
  <si>
    <t xml:space="preserve">908-200-7407</t>
  </si>
  <si>
    <t xml:space="preserve">Owner (Richard/Alex)</t>
  </si>
  <si>
    <t xml:space="preserve">Wood-fired; gelato add-on.</t>
  </si>
  <si>
    <t xml:space="preserve">Toscana Thin Crust Pizza</t>
  </si>
  <si>
    <t xml:space="preserve">5 Main St, Clinton, NJ 08809</t>
  </si>
  <si>
    <t xml:space="preserve">908-323-2215</t>
  </si>
  <si>
    <t xml:space="preserve">Highly rated; family pizzeria.</t>
  </si>
  <si>
    <t xml:space="preserve">Rosemarie's Cucina</t>
  </si>
  <si>
    <t xml:space="preserve">10 E Main St, Clinton, NJ 08809</t>
  </si>
  <si>
    <t xml:space="preserve">908-323-2380</t>
  </si>
  <si>
    <t xml:space="preserve">Chef Paul / Marie</t>
  </si>
  <si>
    <t xml:space="preserve">Family BYOB Italian; dessert offer.</t>
  </si>
  <si>
    <t xml:space="preserve">The River Mill View</t>
  </si>
  <si>
    <t xml:space="preserve">41 Main St, Clinton, NJ 08809</t>
  </si>
  <si>
    <t xml:space="preserve">908-335-8435</t>
  </si>
  <si>
    <t xml:space="preserve">Scenic; lunch or appetizer offer.</t>
  </si>
  <si>
    <t xml:space="preserve">Shammy Shine — Clinton Center St</t>
  </si>
  <si>
    <t xml:space="preserve">Car Wash</t>
  </si>
  <si>
    <t xml:space="preserve">185 Center St, Clinton, NJ 08809</t>
  </si>
  <si>
    <t xml:space="preserve">908-730-8847</t>
  </si>
  <si>
    <t xml:space="preserve">Manager / Owner</t>
  </si>
  <si>
    <t xml:space="preserve">Membership model; first-wash trial.</t>
  </si>
  <si>
    <t xml:space="preserve">Clinton II Shammy Shine</t>
  </si>
  <si>
    <t xml:space="preserve">86 W Main St, Clinton, NJ 08809</t>
  </si>
  <si>
    <t xml:space="preserve">908-735-8122</t>
  </si>
  <si>
    <t xml:space="preserve">Manager</t>
  </si>
  <si>
    <t xml:space="preserve">Same ownership group as above.</t>
  </si>
  <si>
    <t xml:space="preserve">Shammy Shine — Flemington Rt 12</t>
  </si>
  <si>
    <t xml:space="preserve">34 NJ-12, Flemington, NJ 08822</t>
  </si>
  <si>
    <t xml:space="preserve">908-782-3321</t>
  </si>
  <si>
    <t xml:space="preserve">Self-serve; member plan upsell.</t>
  </si>
  <si>
    <t xml:space="preserve">Shammy Shine — Raritan Full Service</t>
  </si>
  <si>
    <t xml:space="preserve">131 NJ-31, Flemington, NJ 08822</t>
  </si>
  <si>
    <t xml:space="preserve">908-788-7676</t>
  </si>
  <si>
    <t xml:space="preserve">Full service; discount detail package.</t>
  </si>
  <si>
    <t xml:space="preserve">Pine Creek Miniature Golf</t>
  </si>
  <si>
    <t xml:space="preserve">394 NJ-31 N, Ringoes, NJ 08551</t>
  </si>
  <si>
    <t xml:space="preserve">609-466-3803</t>
  </si>
  <si>
    <t xml:space="preserve">Owner (Missy)</t>
  </si>
  <si>
    <t xml:space="preserve">Family-owned; seasonal themes; BOGO round.</t>
  </si>
  <si>
    <t xml:space="preserve">Break Away Entertainment</t>
  </si>
  <si>
    <t xml:space="preserve">17 Minneakoning Rd, Flemington, NJ 08822</t>
  </si>
  <si>
    <t xml:space="preserve">908-968-3886</t>
  </si>
  <si>
    <t xml:space="preserve">Billiards + arcade; free table hour.</t>
  </si>
  <si>
    <t xml:space="preserve">Thee Ice Cream Parlor</t>
  </si>
  <si>
    <t xml:space="preserve">Ice Cream</t>
  </si>
  <si>
    <t xml:space="preserve">463 US-202, Flemington, NJ 08822</t>
  </si>
  <si>
    <t xml:space="preserve">908-284-1233</t>
  </si>
  <si>
    <t xml:space="preserve">High traffic; BOGO cone.</t>
  </si>
  <si>
    <t xml:space="preserve">Humdoo Ice Cream Shop</t>
  </si>
  <si>
    <t xml:space="preserve">20 Stangl Rd, Flemington, NJ 08822</t>
  </si>
  <si>
    <t xml:space="preserve">908-824-7275</t>
  </si>
  <si>
    <t xml:space="preserve">Nut-free; loyal following; BOGO scoop.</t>
  </si>
  <si>
    <t xml:space="preserve">The Fudge Shoppe</t>
  </si>
  <si>
    <t xml:space="preserve">Sweets</t>
  </si>
  <si>
    <t xml:space="preserve">461 US-202, Flemington, NJ 08822</t>
  </si>
  <si>
    <t xml:space="preserve">908-782-7123</t>
  </si>
  <si>
    <t xml:space="preserve">Beloved local shop; % off or sample box.</t>
  </si>
  <si>
    <t xml:space="preserve">Oakwood Lanes</t>
  </si>
  <si>
    <t xml:space="preserve">234 NJ-31, Washington, NJ 07882</t>
  </si>
  <si>
    <t xml:space="preserve">908-689-0310</t>
  </si>
  <si>
    <t xml:space="preserve">Family bowling; free game or shoe rental.</t>
  </si>
  <si>
    <t xml:space="preserve">Jr Lions Lacrosse — Outreach Email Log</t>
  </si>
  <si>
    <t xml:space="preserve">Contact Name</t>
  </si>
  <si>
    <t xml:space="preserve">Email Address</t>
  </si>
  <si>
    <t xml:space="preserve">Date Sent</t>
  </si>
  <si>
    <t xml:space="preserve">Template Used</t>
  </si>
  <si>
    <t xml:space="preserve">Response Received?</t>
  </si>
  <si>
    <t xml:space="preserve">Response Date</t>
  </si>
  <si>
    <t xml:space="preserve">Next Action</t>
  </si>
  <si>
    <t xml:space="preserve">Jr Lions Lacrosse — Confirmed Partner Offers  (fill as partners sign on)</t>
  </si>
  <si>
    <t xml:space="preserve">Offer Description</t>
  </si>
  <si>
    <t xml:space="preserve">Conditions</t>
  </si>
  <si>
    <t xml:space="preserve">Expiry Date</t>
  </si>
  <si>
    <t xml:space="preserve">Redemption Code</t>
  </si>
  <si>
    <t xml:space="preserve">Contact Confirmed Via</t>
  </si>
  <si>
    <t xml:space="preserve">Date Confirmed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</si>
</sst>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9"/>
      <color rgb="FF757575"/>
      <name val="Calibri"/>
      <family val="0"/>
      <charset val="1"/>
    </font>
    <font>
      <b val="true"/>
      <sz val="22"/>
      <color rgb="FF1F3A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555555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CEFF1"/>
        <bgColor rgb="FFE8F5E9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1F8F1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2E7D32"/>
        <bgColor rgb="FF008000"/>
      </patternFill>
    </fill>
    <fill>
      <patternFill patternType="solid">
        <fgColor rgb="FFF9FBF9"/>
        <bgColor rgb="FFF9FAFE"/>
      </patternFill>
    </fill>
    <fill>
      <patternFill patternType="solid">
        <fgColor rgb="FFF9FAFE"/>
        <bgColor rgb="FFF9FBF9"/>
      </patternFill>
    </fill>
    <fill>
      <patternFill patternType="solid">
        <fgColor rgb="FFF1F8F1"/>
        <bgColor rgb="FFF9FB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FF"/>
        </patternFill>
      </fill>
    </dxf>
    <dxf>
      <fill>
        <patternFill>
          <bgColor rgb="FFE3F2FD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E3F2FD"/>
      <rgbColor rgb="FF660066"/>
      <rgbColor rgb="FFFF8080"/>
      <rgbColor rgb="FF0066CC"/>
      <rgbColor rgb="FFECEF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1F8F1"/>
      <rgbColor rgb="FFF9FAFE"/>
      <rgbColor rgb="FFF9FBF9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50"/>
    <col collapsed="false" customWidth="true" hidden="false" outlineLevel="0" max="5" min="5" style="0" width="2"/>
    <col collapsed="false" customWidth="true" hidden="false" outlineLevel="0" max="7" min="6" style="0" width="14"/>
    <col collapsed="false" customWidth="true" hidden="false" outlineLevel="0" max="8" min="8" style="0" width="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3.5" hidden="false" customHeight="true" outlineLevel="0" collapsed="false">
      <c r="A5" s="4" t="n">
        <f aca="false">COUNTA('Business List'!A3:A100)-1</f>
        <v>27</v>
      </c>
      <c r="B5" s="5" t="n">
        <f aca="false">COUNTIF('Business List'!G3:G100,"Contacted")+COUNTIF('Business List'!G3:G100,"Verbal Yes")+COUNTIF('Business List'!G3:G100,"Confirmed")+COUNTIF('Business List'!G3:G100,"Declined")</f>
        <v>0</v>
      </c>
      <c r="C5" s="6" t="n">
        <f aca="false">COUNTIF('Business List'!G3:G100,"Verbal Yes")</f>
        <v>0</v>
      </c>
      <c r="D5" s="7" t="n">
        <f aca="false">COUNTIF('Business List'!G3:G100,"Confirmed")</f>
        <v>0</v>
      </c>
      <c r="E5" s="8" t="n">
        <f aca="false">COUNTIF('Business List'!G3:G100,"Declined")</f>
        <v>0</v>
      </c>
      <c r="F5" s="9" t="n">
        <f aca="false">IFERROR(D5/A5,0)</f>
        <v>0</v>
      </c>
    </row>
    <row r="6" customFormat="false" ht="7.5" hidden="false" customHeight="true" outlineLevel="0" collapsed="false"/>
    <row r="7" customFormat="false" ht="21.75" hidden="false" customHeight="true" outlineLevel="0" collapsed="false">
      <c r="A7" s="10" t="s">
        <v>8</v>
      </c>
      <c r="B7" s="10"/>
      <c r="C7" s="10"/>
      <c r="D7" s="11" t="s">
        <v>9</v>
      </c>
      <c r="E7" s="11"/>
      <c r="F7" s="11"/>
      <c r="G7" s="11"/>
      <c r="H7" s="11"/>
    </row>
    <row r="8" customFormat="false" ht="19.5" hidden="false" customHeight="true" outlineLevel="0" collapsed="false">
      <c r="A8" s="12" t="s">
        <v>10</v>
      </c>
      <c r="B8" s="12" t="s">
        <v>11</v>
      </c>
      <c r="C8" s="12" t="s">
        <v>12</v>
      </c>
      <c r="D8" s="13" t="s">
        <v>13</v>
      </c>
      <c r="E8" s="13"/>
      <c r="F8" s="13"/>
      <c r="G8" s="13"/>
      <c r="H8" s="13"/>
    </row>
    <row r="9" customFormat="false" ht="19.5" hidden="false" customHeight="true" outlineLevel="0" collapsed="false">
      <c r="A9" s="14" t="s">
        <v>14</v>
      </c>
      <c r="B9" s="15" t="n">
        <v>5</v>
      </c>
      <c r="C9" s="16" t="n">
        <f aca="false">COUNTIFS('Business List'!C3:C100,"*Golf*",'Business List'!G3:G100,"Confirmed")</f>
        <v>0</v>
      </c>
      <c r="D9" s="17" t="s">
        <v>15</v>
      </c>
      <c r="E9" s="17"/>
      <c r="F9" s="17"/>
      <c r="G9" s="17"/>
      <c r="H9" s="17"/>
    </row>
    <row r="10" customFormat="false" ht="19.5" hidden="false" customHeight="true" outlineLevel="0" collapsed="false">
      <c r="A10" s="14" t="s">
        <v>16</v>
      </c>
      <c r="B10" s="15" t="n">
        <v>5</v>
      </c>
      <c r="C10" s="16" t="n">
        <f aca="false">COUNTIFS('Business List'!C3:C100,"*Simulators*",'Business List'!G3:G100,"Confirmed")</f>
        <v>0</v>
      </c>
      <c r="D10" s="13" t="s">
        <v>17</v>
      </c>
      <c r="E10" s="13"/>
      <c r="F10" s="13"/>
      <c r="G10" s="13"/>
      <c r="H10" s="13"/>
    </row>
    <row r="11" customFormat="false" ht="19.5" hidden="false" customHeight="true" outlineLevel="0" collapsed="false">
      <c r="A11" s="14" t="s">
        <v>18</v>
      </c>
      <c r="B11" s="15" t="n">
        <v>5</v>
      </c>
      <c r="C11" s="16" t="n">
        <f aca="false">COUNTIFS('Business List'!C3:C100,"*Restaurants*",'Business List'!G3:G100,"Confirmed")</f>
        <v>0</v>
      </c>
      <c r="D11" s="17" t="s">
        <v>19</v>
      </c>
      <c r="E11" s="17"/>
      <c r="F11" s="17"/>
      <c r="G11" s="17"/>
      <c r="H11" s="17"/>
    </row>
    <row r="12" customFormat="false" ht="19.5" hidden="false" customHeight="true" outlineLevel="0" collapsed="false">
      <c r="A12" s="14" t="s">
        <v>20</v>
      </c>
      <c r="B12" s="15" t="n">
        <v>5</v>
      </c>
      <c r="C12" s="16" t="n">
        <f aca="false">COUNTIFS('Business List'!C3:C100,"*Car*",'Business List'!G3:G100,"Confirmed")</f>
        <v>0</v>
      </c>
      <c r="D12" s="13" t="s">
        <v>21</v>
      </c>
      <c r="E12" s="13"/>
      <c r="F12" s="13"/>
      <c r="G12" s="13"/>
      <c r="H12" s="13"/>
    </row>
    <row r="13" customFormat="false" ht="19.5" hidden="false" customHeight="true" outlineLevel="0" collapsed="false">
      <c r="A13" s="14" t="s">
        <v>22</v>
      </c>
      <c r="B13" s="15" t="n">
        <v>5</v>
      </c>
      <c r="C13" s="16" t="n">
        <f aca="false">COUNTIFS('Business List'!C3:C100,"*Family*",'Business List'!G3:G100,"Confirmed")</f>
        <v>0</v>
      </c>
      <c r="D13" s="17" t="s">
        <v>23</v>
      </c>
      <c r="E13" s="17"/>
      <c r="F13" s="17"/>
      <c r="G13" s="17"/>
      <c r="H13" s="17"/>
    </row>
    <row r="14" customFormat="false" ht="19.5" hidden="false" customHeight="true" outlineLevel="0" collapsed="false">
      <c r="D14" s="13" t="s">
        <v>24</v>
      </c>
      <c r="E14" s="13"/>
      <c r="F14" s="13"/>
      <c r="G14" s="13"/>
      <c r="H14" s="13"/>
    </row>
    <row r="15" customFormat="false" ht="19.5" hidden="false" customHeight="true" outlineLevel="0" collapsed="false">
      <c r="D15" s="17" t="s">
        <v>25</v>
      </c>
      <c r="E15" s="17"/>
      <c r="F15" s="17"/>
      <c r="G15" s="17"/>
      <c r="H15" s="17"/>
    </row>
    <row r="16" customFormat="false" ht="19.5" hidden="false" customHeight="true" outlineLevel="0" collapsed="false"/>
  </sheetData>
  <mergeCells count="12">
    <mergeCell ref="A1:H1"/>
    <mergeCell ref="A2:H2"/>
    <mergeCell ref="A7:C7"/>
    <mergeCell ref="D7:H7"/>
    <mergeCell ref="D8:H8"/>
    <mergeCell ref="D9:H9"/>
    <mergeCell ref="D10:H10"/>
    <mergeCell ref="D11:H11"/>
    <mergeCell ref="D12:H12"/>
    <mergeCell ref="D13:H13"/>
    <mergeCell ref="D14:H14"/>
    <mergeCell ref="D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38"/>
    <col collapsed="false" customWidth="true" hidden="false" outlineLevel="0" max="12" min="11" style="0" width="28"/>
  </cols>
  <sheetData>
    <row r="1" customFormat="false" ht="31.5" hidden="false" customHeight="true" outlineLevel="0" collapsed="false">
      <c r="A1" s="18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10" t="s">
        <v>27</v>
      </c>
      <c r="B2" s="10" t="s">
        <v>10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  <c r="H2" s="10" t="s">
        <v>33</v>
      </c>
      <c r="I2" s="10" t="s">
        <v>34</v>
      </c>
      <c r="J2" s="10" t="s">
        <v>35</v>
      </c>
      <c r="K2" s="10" t="s">
        <v>36</v>
      </c>
      <c r="L2" s="10" t="s">
        <v>37</v>
      </c>
    </row>
    <row r="3" customFormat="false" ht="27.75" hidden="false" customHeight="true" outlineLevel="0" collapsed="false">
      <c r="A3" s="19" t="s">
        <v>38</v>
      </c>
      <c r="B3" s="19" t="s">
        <v>39</v>
      </c>
      <c r="C3" s="19" t="s">
        <v>40</v>
      </c>
      <c r="D3" s="19" t="s">
        <v>41</v>
      </c>
      <c r="E3" s="19" t="s">
        <v>42</v>
      </c>
      <c r="F3" s="19"/>
      <c r="G3" s="19" t="s">
        <v>43</v>
      </c>
      <c r="H3" s="19"/>
      <c r="I3" s="19"/>
      <c r="J3" s="19"/>
      <c r="K3" s="19"/>
      <c r="L3" s="19" t="s">
        <v>44</v>
      </c>
    </row>
    <row r="4" customFormat="false" ht="27.75" hidden="false" customHeight="true" outlineLevel="0" collapsed="false">
      <c r="A4" s="19" t="s">
        <v>45</v>
      </c>
      <c r="B4" s="19" t="s">
        <v>39</v>
      </c>
      <c r="C4" s="19" t="s">
        <v>46</v>
      </c>
      <c r="D4" s="19" t="s">
        <v>47</v>
      </c>
      <c r="E4" s="19" t="s">
        <v>48</v>
      </c>
      <c r="F4" s="19"/>
      <c r="G4" s="19" t="s">
        <v>43</v>
      </c>
      <c r="H4" s="19"/>
      <c r="I4" s="19"/>
      <c r="J4" s="19"/>
      <c r="K4" s="19"/>
      <c r="L4" s="19" t="s">
        <v>49</v>
      </c>
    </row>
    <row r="5" customFormat="false" ht="27.75" hidden="false" customHeight="true" outlineLevel="0" collapsed="false">
      <c r="A5" s="19" t="s">
        <v>50</v>
      </c>
      <c r="B5" s="19" t="s">
        <v>39</v>
      </c>
      <c r="C5" s="19" t="s">
        <v>51</v>
      </c>
      <c r="D5" s="19" t="s">
        <v>52</v>
      </c>
      <c r="E5" s="19" t="s">
        <v>53</v>
      </c>
      <c r="F5" s="19"/>
      <c r="G5" s="19" t="s">
        <v>43</v>
      </c>
      <c r="H5" s="19"/>
      <c r="I5" s="19"/>
      <c r="J5" s="19"/>
      <c r="K5" s="19"/>
      <c r="L5" s="19" t="s">
        <v>54</v>
      </c>
    </row>
    <row r="6" customFormat="false" ht="27.75" hidden="false" customHeight="true" outlineLevel="0" collapsed="false">
      <c r="A6" s="19" t="s">
        <v>55</v>
      </c>
      <c r="B6" s="19" t="s">
        <v>39</v>
      </c>
      <c r="C6" s="19" t="s">
        <v>56</v>
      </c>
      <c r="D6" s="19" t="s">
        <v>57</v>
      </c>
      <c r="E6" s="19" t="s">
        <v>48</v>
      </c>
      <c r="F6" s="19"/>
      <c r="G6" s="19" t="s">
        <v>43</v>
      </c>
      <c r="H6" s="19"/>
      <c r="I6" s="19"/>
      <c r="J6" s="19"/>
      <c r="K6" s="19"/>
      <c r="L6" s="19" t="s">
        <v>58</v>
      </c>
    </row>
    <row r="7" customFormat="false" ht="27.75" hidden="false" customHeight="true" outlineLevel="0" collapsed="false">
      <c r="A7" s="19" t="s">
        <v>59</v>
      </c>
      <c r="B7" s="19" t="s">
        <v>39</v>
      </c>
      <c r="C7" s="19" t="s">
        <v>60</v>
      </c>
      <c r="D7" s="19" t="s">
        <v>61</v>
      </c>
      <c r="E7" s="19" t="s">
        <v>62</v>
      </c>
      <c r="F7" s="19"/>
      <c r="G7" s="19" t="s">
        <v>43</v>
      </c>
      <c r="H7" s="19"/>
      <c r="I7" s="19"/>
      <c r="J7" s="19"/>
      <c r="K7" s="19"/>
      <c r="L7" s="19" t="s">
        <v>63</v>
      </c>
    </row>
    <row r="8" customFormat="false" ht="27.75" hidden="false" customHeight="true" outlineLevel="0" collapsed="false">
      <c r="A8" s="19" t="s">
        <v>64</v>
      </c>
      <c r="B8" s="19" t="s">
        <v>39</v>
      </c>
      <c r="C8" s="19" t="s">
        <v>65</v>
      </c>
      <c r="D8" s="19" t="s">
        <v>66</v>
      </c>
      <c r="E8" s="19" t="s">
        <v>67</v>
      </c>
      <c r="F8" s="19"/>
      <c r="G8" s="19" t="s">
        <v>43</v>
      </c>
      <c r="H8" s="19"/>
      <c r="I8" s="19"/>
      <c r="J8" s="19"/>
      <c r="K8" s="19"/>
      <c r="L8" s="19" t="s">
        <v>68</v>
      </c>
    </row>
    <row r="9" customFormat="false" ht="27.75" hidden="false" customHeight="true" outlineLevel="0" collapsed="false">
      <c r="A9" s="19" t="s">
        <v>69</v>
      </c>
      <c r="B9" s="19" t="s">
        <v>39</v>
      </c>
      <c r="C9" s="19" t="s">
        <v>70</v>
      </c>
      <c r="D9" s="19" t="s">
        <v>71</v>
      </c>
      <c r="E9" s="19" t="s">
        <v>72</v>
      </c>
      <c r="F9" s="19"/>
      <c r="G9" s="19" t="s">
        <v>43</v>
      </c>
      <c r="H9" s="19"/>
      <c r="I9" s="19"/>
      <c r="J9" s="19"/>
      <c r="K9" s="19"/>
      <c r="L9" s="19" t="s">
        <v>73</v>
      </c>
    </row>
    <row r="10" customFormat="false" ht="27.75" hidden="false" customHeight="true" outlineLevel="0" collapsed="false">
      <c r="A10" s="19" t="s">
        <v>74</v>
      </c>
      <c r="B10" s="19" t="s">
        <v>75</v>
      </c>
      <c r="C10" s="19" t="s">
        <v>76</v>
      </c>
      <c r="D10" s="19" t="s">
        <v>77</v>
      </c>
      <c r="E10" s="19" t="s">
        <v>78</v>
      </c>
      <c r="F10" s="19"/>
      <c r="G10" s="19" t="s">
        <v>43</v>
      </c>
      <c r="H10" s="19"/>
      <c r="I10" s="19"/>
      <c r="J10" s="19"/>
      <c r="K10" s="19"/>
      <c r="L10" s="19" t="s">
        <v>79</v>
      </c>
    </row>
    <row r="11" customFormat="false" ht="27.75" hidden="false" customHeight="true" outlineLevel="0" collapsed="false">
      <c r="A11" s="19" t="s">
        <v>80</v>
      </c>
      <c r="B11" s="19" t="s">
        <v>75</v>
      </c>
      <c r="C11" s="19" t="s">
        <v>81</v>
      </c>
      <c r="D11" s="19" t="s">
        <v>82</v>
      </c>
      <c r="E11" s="19" t="s">
        <v>83</v>
      </c>
      <c r="F11" s="19"/>
      <c r="G11" s="19" t="s">
        <v>43</v>
      </c>
      <c r="H11" s="19"/>
      <c r="I11" s="19"/>
      <c r="J11" s="19"/>
      <c r="K11" s="19"/>
      <c r="L11" s="19" t="s">
        <v>84</v>
      </c>
    </row>
    <row r="12" customFormat="false" ht="27.75" hidden="false" customHeight="true" outlineLevel="0" collapsed="false">
      <c r="A12" s="19" t="s">
        <v>85</v>
      </c>
      <c r="B12" s="19" t="s">
        <v>75</v>
      </c>
      <c r="C12" s="19" t="s">
        <v>86</v>
      </c>
      <c r="D12" s="19" t="s">
        <v>87</v>
      </c>
      <c r="E12" s="19" t="s">
        <v>62</v>
      </c>
      <c r="F12" s="19"/>
      <c r="G12" s="19" t="s">
        <v>43</v>
      </c>
      <c r="H12" s="19"/>
      <c r="I12" s="19"/>
      <c r="J12" s="19"/>
      <c r="K12" s="19"/>
      <c r="L12" s="19" t="s">
        <v>88</v>
      </c>
    </row>
    <row r="13" customFormat="false" ht="27.75" hidden="false" customHeight="true" outlineLevel="0" collapsed="false">
      <c r="A13" s="19" t="s">
        <v>89</v>
      </c>
      <c r="B13" s="19" t="s">
        <v>75</v>
      </c>
      <c r="C13" s="19" t="s">
        <v>90</v>
      </c>
      <c r="D13" s="19" t="s">
        <v>91</v>
      </c>
      <c r="E13" s="19" t="s">
        <v>48</v>
      </c>
      <c r="F13" s="19"/>
      <c r="G13" s="19" t="s">
        <v>43</v>
      </c>
      <c r="H13" s="19"/>
      <c r="I13" s="19"/>
      <c r="J13" s="19"/>
      <c r="K13" s="19"/>
      <c r="L13" s="19" t="s">
        <v>92</v>
      </c>
    </row>
    <row r="14" customFormat="false" ht="27.75" hidden="false" customHeight="true" outlineLevel="0" collapsed="false">
      <c r="A14" s="19" t="s">
        <v>93</v>
      </c>
      <c r="B14" s="19" t="s">
        <v>75</v>
      </c>
      <c r="C14" s="19" t="s">
        <v>94</v>
      </c>
      <c r="D14" s="19" t="s">
        <v>95</v>
      </c>
      <c r="E14" s="19" t="s">
        <v>96</v>
      </c>
      <c r="F14" s="19"/>
      <c r="G14" s="19" t="s">
        <v>43</v>
      </c>
      <c r="H14" s="19"/>
      <c r="I14" s="19"/>
      <c r="J14" s="19"/>
      <c r="K14" s="19"/>
      <c r="L14" s="19" t="s">
        <v>97</v>
      </c>
    </row>
    <row r="15" customFormat="false" ht="27.75" hidden="false" customHeight="true" outlineLevel="0" collapsed="false">
      <c r="A15" s="19" t="s">
        <v>98</v>
      </c>
      <c r="B15" s="19" t="s">
        <v>99</v>
      </c>
      <c r="C15" s="19" t="s">
        <v>100</v>
      </c>
      <c r="D15" s="19" t="s">
        <v>101</v>
      </c>
      <c r="E15" s="19" t="s">
        <v>102</v>
      </c>
      <c r="F15" s="19"/>
      <c r="G15" s="19" t="s">
        <v>43</v>
      </c>
      <c r="H15" s="19"/>
      <c r="I15" s="19"/>
      <c r="J15" s="19"/>
      <c r="K15" s="19"/>
      <c r="L15" s="19" t="s">
        <v>103</v>
      </c>
    </row>
    <row r="16" customFormat="false" ht="27.75" hidden="false" customHeight="true" outlineLevel="0" collapsed="false">
      <c r="A16" s="19" t="s">
        <v>104</v>
      </c>
      <c r="B16" s="19" t="s">
        <v>105</v>
      </c>
      <c r="C16" s="19" t="s">
        <v>106</v>
      </c>
      <c r="D16" s="19" t="s">
        <v>107</v>
      </c>
      <c r="E16" s="19" t="s">
        <v>108</v>
      </c>
      <c r="F16" s="19"/>
      <c r="G16" s="19" t="s">
        <v>43</v>
      </c>
      <c r="H16" s="19"/>
      <c r="I16" s="19"/>
      <c r="J16" s="19"/>
      <c r="K16" s="19"/>
      <c r="L16" s="19" t="s">
        <v>109</v>
      </c>
    </row>
    <row r="17" customFormat="false" ht="27.75" hidden="false" customHeight="true" outlineLevel="0" collapsed="false">
      <c r="A17" s="19" t="s">
        <v>110</v>
      </c>
      <c r="B17" s="19" t="s">
        <v>105</v>
      </c>
      <c r="C17" s="19" t="s">
        <v>111</v>
      </c>
      <c r="D17" s="19" t="s">
        <v>112</v>
      </c>
      <c r="E17" s="19" t="s">
        <v>113</v>
      </c>
      <c r="F17" s="19"/>
      <c r="G17" s="19" t="s">
        <v>43</v>
      </c>
      <c r="H17" s="19"/>
      <c r="I17" s="19"/>
      <c r="J17" s="19"/>
      <c r="K17" s="19"/>
      <c r="L17" s="19" t="s">
        <v>114</v>
      </c>
    </row>
    <row r="18" customFormat="false" ht="27.75" hidden="false" customHeight="true" outlineLevel="0" collapsed="false">
      <c r="A18" s="19" t="s">
        <v>115</v>
      </c>
      <c r="B18" s="19" t="s">
        <v>105</v>
      </c>
      <c r="C18" s="19" t="s">
        <v>116</v>
      </c>
      <c r="D18" s="19" t="s">
        <v>117</v>
      </c>
      <c r="E18" s="19" t="s">
        <v>96</v>
      </c>
      <c r="F18" s="19"/>
      <c r="G18" s="19" t="s">
        <v>43</v>
      </c>
      <c r="H18" s="19"/>
      <c r="I18" s="19"/>
      <c r="J18" s="19"/>
      <c r="K18" s="19"/>
      <c r="L18" s="19" t="s">
        <v>118</v>
      </c>
    </row>
    <row r="19" customFormat="false" ht="27.75" hidden="false" customHeight="true" outlineLevel="0" collapsed="false">
      <c r="A19" s="19" t="s">
        <v>119</v>
      </c>
      <c r="B19" s="19" t="s">
        <v>105</v>
      </c>
      <c r="C19" s="19" t="s">
        <v>120</v>
      </c>
      <c r="D19" s="19" t="s">
        <v>121</v>
      </c>
      <c r="E19" s="19" t="s">
        <v>122</v>
      </c>
      <c r="F19" s="19"/>
      <c r="G19" s="19" t="s">
        <v>43</v>
      </c>
      <c r="H19" s="19"/>
      <c r="I19" s="19"/>
      <c r="J19" s="19"/>
      <c r="K19" s="19"/>
      <c r="L19" s="19" t="s">
        <v>123</v>
      </c>
    </row>
    <row r="20" customFormat="false" ht="27.75" hidden="false" customHeight="true" outlineLevel="0" collapsed="false">
      <c r="A20" s="19" t="s">
        <v>124</v>
      </c>
      <c r="B20" s="19" t="s">
        <v>105</v>
      </c>
      <c r="C20" s="19" t="s">
        <v>125</v>
      </c>
      <c r="D20" s="19" t="s">
        <v>126</v>
      </c>
      <c r="E20" s="19" t="s">
        <v>62</v>
      </c>
      <c r="F20" s="19"/>
      <c r="G20" s="19" t="s">
        <v>43</v>
      </c>
      <c r="H20" s="19"/>
      <c r="I20" s="19"/>
      <c r="J20" s="19"/>
      <c r="K20" s="19"/>
      <c r="L20" s="19" t="s">
        <v>127</v>
      </c>
    </row>
    <row r="21" customFormat="false" ht="27.75" hidden="false" customHeight="true" outlineLevel="0" collapsed="false">
      <c r="A21" s="19" t="s">
        <v>128</v>
      </c>
      <c r="B21" s="19" t="s">
        <v>129</v>
      </c>
      <c r="C21" s="19" t="s">
        <v>130</v>
      </c>
      <c r="D21" s="19" t="s">
        <v>131</v>
      </c>
      <c r="E21" s="19" t="s">
        <v>132</v>
      </c>
      <c r="F21" s="19"/>
      <c r="G21" s="19" t="s">
        <v>43</v>
      </c>
      <c r="H21" s="19"/>
      <c r="I21" s="19"/>
      <c r="J21" s="19"/>
      <c r="K21" s="19"/>
      <c r="L21" s="19" t="s">
        <v>133</v>
      </c>
    </row>
    <row r="22" customFormat="false" ht="27.75" hidden="false" customHeight="true" outlineLevel="0" collapsed="false">
      <c r="A22" s="19" t="s">
        <v>134</v>
      </c>
      <c r="B22" s="19" t="s">
        <v>129</v>
      </c>
      <c r="C22" s="19" t="s">
        <v>135</v>
      </c>
      <c r="D22" s="19" t="s">
        <v>136</v>
      </c>
      <c r="E22" s="19" t="s">
        <v>137</v>
      </c>
      <c r="F22" s="19"/>
      <c r="G22" s="19" t="s">
        <v>43</v>
      </c>
      <c r="H22" s="19"/>
      <c r="I22" s="19"/>
      <c r="J22" s="19"/>
      <c r="K22" s="19"/>
      <c r="L22" s="19" t="s">
        <v>138</v>
      </c>
    </row>
    <row r="23" customFormat="false" ht="27.75" hidden="false" customHeight="true" outlineLevel="0" collapsed="false">
      <c r="A23" s="19" t="s">
        <v>139</v>
      </c>
      <c r="B23" s="19" t="s">
        <v>129</v>
      </c>
      <c r="C23" s="19" t="s">
        <v>140</v>
      </c>
      <c r="D23" s="19" t="s">
        <v>141</v>
      </c>
      <c r="E23" s="19" t="s">
        <v>137</v>
      </c>
      <c r="F23" s="19"/>
      <c r="G23" s="19" t="s">
        <v>43</v>
      </c>
      <c r="H23" s="19"/>
      <c r="I23" s="19"/>
      <c r="J23" s="19"/>
      <c r="K23" s="19"/>
      <c r="L23" s="19" t="s">
        <v>142</v>
      </c>
    </row>
    <row r="24" customFormat="false" ht="27.75" hidden="false" customHeight="true" outlineLevel="0" collapsed="false">
      <c r="A24" s="19" t="s">
        <v>143</v>
      </c>
      <c r="B24" s="19" t="s">
        <v>129</v>
      </c>
      <c r="C24" s="19" t="s">
        <v>144</v>
      </c>
      <c r="D24" s="19" t="s">
        <v>145</v>
      </c>
      <c r="E24" s="19" t="s">
        <v>132</v>
      </c>
      <c r="F24" s="19"/>
      <c r="G24" s="19" t="s">
        <v>43</v>
      </c>
      <c r="H24" s="19"/>
      <c r="I24" s="19"/>
      <c r="J24" s="19"/>
      <c r="K24" s="19"/>
      <c r="L24" s="19" t="s">
        <v>146</v>
      </c>
    </row>
    <row r="25" customFormat="false" ht="27.75" hidden="false" customHeight="true" outlineLevel="0" collapsed="false">
      <c r="A25" s="19" t="s">
        <v>147</v>
      </c>
      <c r="B25" s="19" t="s">
        <v>22</v>
      </c>
      <c r="C25" s="19" t="s">
        <v>148</v>
      </c>
      <c r="D25" s="19" t="s">
        <v>149</v>
      </c>
      <c r="E25" s="19" t="s">
        <v>150</v>
      </c>
      <c r="F25" s="19"/>
      <c r="G25" s="19" t="s">
        <v>43</v>
      </c>
      <c r="H25" s="19"/>
      <c r="I25" s="19"/>
      <c r="J25" s="19"/>
      <c r="K25" s="19"/>
      <c r="L25" s="19" t="s">
        <v>151</v>
      </c>
    </row>
    <row r="26" customFormat="false" ht="27.75" hidden="false" customHeight="true" outlineLevel="0" collapsed="false">
      <c r="A26" s="19" t="s">
        <v>152</v>
      </c>
      <c r="B26" s="19" t="s">
        <v>22</v>
      </c>
      <c r="C26" s="19" t="s">
        <v>153</v>
      </c>
      <c r="D26" s="19" t="s">
        <v>154</v>
      </c>
      <c r="E26" s="19" t="s">
        <v>108</v>
      </c>
      <c r="F26" s="19"/>
      <c r="G26" s="19" t="s">
        <v>43</v>
      </c>
      <c r="H26" s="19"/>
      <c r="I26" s="19"/>
      <c r="J26" s="19"/>
      <c r="K26" s="19"/>
      <c r="L26" s="19" t="s">
        <v>155</v>
      </c>
    </row>
    <row r="27" customFormat="false" ht="27.75" hidden="false" customHeight="true" outlineLevel="0" collapsed="false">
      <c r="A27" s="19" t="s">
        <v>156</v>
      </c>
      <c r="B27" s="19" t="s">
        <v>157</v>
      </c>
      <c r="C27" s="19" t="s">
        <v>158</v>
      </c>
      <c r="D27" s="19" t="s">
        <v>159</v>
      </c>
      <c r="E27" s="19" t="s">
        <v>96</v>
      </c>
      <c r="F27" s="19"/>
      <c r="G27" s="19" t="s">
        <v>43</v>
      </c>
      <c r="H27" s="19"/>
      <c r="I27" s="19"/>
      <c r="J27" s="19"/>
      <c r="K27" s="19"/>
      <c r="L27" s="19" t="s">
        <v>160</v>
      </c>
    </row>
    <row r="28" customFormat="false" ht="27.75" hidden="false" customHeight="true" outlineLevel="0" collapsed="false">
      <c r="A28" s="19" t="s">
        <v>161</v>
      </c>
      <c r="B28" s="19" t="s">
        <v>157</v>
      </c>
      <c r="C28" s="19" t="s">
        <v>162</v>
      </c>
      <c r="D28" s="19" t="s">
        <v>163</v>
      </c>
      <c r="E28" s="19" t="s">
        <v>96</v>
      </c>
      <c r="F28" s="19"/>
      <c r="G28" s="19" t="s">
        <v>43</v>
      </c>
      <c r="H28" s="19"/>
      <c r="I28" s="19"/>
      <c r="J28" s="19"/>
      <c r="K28" s="19"/>
      <c r="L28" s="19" t="s">
        <v>164</v>
      </c>
    </row>
    <row r="29" customFormat="false" ht="27.75" hidden="false" customHeight="true" outlineLevel="0" collapsed="false">
      <c r="A29" s="19" t="s">
        <v>165</v>
      </c>
      <c r="B29" s="19" t="s">
        <v>166</v>
      </c>
      <c r="C29" s="19" t="s">
        <v>167</v>
      </c>
      <c r="D29" s="19" t="s">
        <v>168</v>
      </c>
      <c r="E29" s="19" t="s">
        <v>96</v>
      </c>
      <c r="F29" s="19"/>
      <c r="G29" s="19" t="s">
        <v>43</v>
      </c>
      <c r="H29" s="19"/>
      <c r="I29" s="19"/>
      <c r="J29" s="19"/>
      <c r="K29" s="19"/>
      <c r="L29" s="19" t="s">
        <v>169</v>
      </c>
    </row>
    <row r="30" customFormat="false" ht="27.75" hidden="false" customHeight="true" outlineLevel="0" collapsed="false">
      <c r="A30" s="19" t="s">
        <v>170</v>
      </c>
      <c r="B30" s="19" t="s">
        <v>22</v>
      </c>
      <c r="C30" s="19" t="s">
        <v>171</v>
      </c>
      <c r="D30" s="19" t="s">
        <v>172</v>
      </c>
      <c r="E30" s="19" t="s">
        <v>137</v>
      </c>
      <c r="F30" s="19"/>
      <c r="G30" s="19" t="s">
        <v>43</v>
      </c>
      <c r="H30" s="19"/>
      <c r="I30" s="19"/>
      <c r="J30" s="19"/>
      <c r="K30" s="19"/>
      <c r="L30" s="19" t="s">
        <v>173</v>
      </c>
    </row>
  </sheetData>
  <mergeCells count="1">
    <mergeCell ref="A1:L1"/>
  </mergeCells>
  <conditionalFormatting sqref="A3:L200">
    <cfRule type="expression" priority="2" aboveAverage="0" equalAverage="0" bottom="0" percent="0" rank="0" text="" dxfId="0">
      <formula>$G3="Not Started"</formula>
    </cfRule>
    <cfRule type="expression" priority="3" aboveAverage="0" equalAverage="0" bottom="0" percent="0" rank="0" text="" dxfId="1">
      <formula>$G3="Contacted"</formula>
    </cfRule>
    <cfRule type="expression" priority="4" aboveAverage="0" equalAverage="0" bottom="0" percent="0" rank="0" text="" dxfId="2">
      <formula>$G3="Verbal Yes"</formula>
    </cfRule>
    <cfRule type="expression" priority="5" aboveAverage="0" equalAverage="0" bottom="0" percent="0" rank="0" text="" dxfId="3">
      <formula>$G3="Confirmed"</formula>
    </cfRule>
    <cfRule type="expression" priority="6" aboveAverage="0" equalAverage="0" bottom="0" percent="0" rank="0" text="" dxfId="4">
      <formula>$G3="Declined"</formula>
    </cfRule>
  </conditionalFormatting>
  <dataValidations count="1">
    <dataValidation allowBlank="true" errorStyle="stop" operator="between" showDropDown="false" showErrorMessage="false" showInputMessage="false" sqref="G3:G200" type="list">
      <formula1>"Not Started,Contacted,Verbal Yes,Confirmed,Declined"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8" t="s">
        <v>174</v>
      </c>
      <c r="B1" s="18"/>
      <c r="C1" s="18"/>
      <c r="D1" s="18"/>
      <c r="E1" s="18"/>
      <c r="F1" s="18"/>
      <c r="G1" s="18"/>
      <c r="H1" s="18"/>
    </row>
    <row r="2" customFormat="false" ht="25.5" hidden="false" customHeight="true" outlineLevel="0" collapsed="false">
      <c r="A2" s="10" t="s">
        <v>27</v>
      </c>
      <c r="B2" s="10" t="s">
        <v>175</v>
      </c>
      <c r="C2" s="10" t="s">
        <v>176</v>
      </c>
      <c r="D2" s="10" t="s">
        <v>177</v>
      </c>
      <c r="E2" s="10" t="s">
        <v>178</v>
      </c>
      <c r="F2" s="10" t="s">
        <v>179</v>
      </c>
      <c r="G2" s="10" t="s">
        <v>180</v>
      </c>
      <c r="H2" s="10" t="s">
        <v>181</v>
      </c>
    </row>
    <row r="3" customFormat="false" ht="21.75" hidden="false" customHeight="true" outlineLevel="0" collapsed="false">
      <c r="A3" s="14"/>
      <c r="B3" s="14"/>
      <c r="C3" s="14"/>
      <c r="D3" s="14"/>
      <c r="E3" s="14"/>
      <c r="F3" s="14"/>
      <c r="G3" s="14"/>
      <c r="H3" s="14"/>
    </row>
    <row r="4" customFormat="false" ht="21.75" hidden="false" customHeight="true" outlineLevel="0" collapsed="false">
      <c r="A4" s="20"/>
      <c r="B4" s="20"/>
      <c r="C4" s="20"/>
      <c r="D4" s="20"/>
      <c r="E4" s="20"/>
      <c r="F4" s="20"/>
      <c r="G4" s="20"/>
      <c r="H4" s="20"/>
    </row>
    <row r="5" customFormat="false" ht="21.75" hidden="false" customHeight="true" outlineLevel="0" collapsed="false">
      <c r="A5" s="14"/>
      <c r="B5" s="14"/>
      <c r="C5" s="14"/>
      <c r="D5" s="14"/>
      <c r="E5" s="14"/>
      <c r="F5" s="14"/>
      <c r="G5" s="14"/>
      <c r="H5" s="14"/>
    </row>
    <row r="6" customFormat="false" ht="21.75" hidden="false" customHeight="true" outlineLevel="0" collapsed="false">
      <c r="A6" s="20"/>
      <c r="B6" s="20"/>
      <c r="C6" s="20"/>
      <c r="D6" s="20"/>
      <c r="E6" s="20"/>
      <c r="F6" s="20"/>
      <c r="G6" s="20"/>
      <c r="H6" s="20"/>
    </row>
    <row r="7" customFormat="false" ht="21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21.75" hidden="false" customHeight="true" outlineLevel="0" collapsed="false">
      <c r="A8" s="20"/>
      <c r="B8" s="20"/>
      <c r="C8" s="20"/>
      <c r="D8" s="20"/>
      <c r="E8" s="20"/>
      <c r="F8" s="20"/>
      <c r="G8" s="20"/>
      <c r="H8" s="20"/>
    </row>
    <row r="9" customFormat="false" ht="21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21.75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</row>
    <row r="11" customFormat="false" ht="21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1.75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</row>
    <row r="13" customFormat="false" ht="21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21.75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</row>
    <row r="15" customFormat="false" ht="21.7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21.75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</row>
    <row r="17" customFormat="false" ht="21.75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21.75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</row>
    <row r="19" customFormat="false" ht="21.7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21.75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</row>
    <row r="21" customFormat="false" ht="21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21.7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</row>
    <row r="23" customFormat="false" ht="21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21.7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</row>
    <row r="25" customFormat="false" ht="21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21.7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</row>
    <row r="27" customFormat="false" ht="21.7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21.7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</row>
    <row r="29" customFormat="false" ht="21.7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21.7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</row>
    <row r="31" customFormat="false" ht="21.7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</row>
    <row r="32" customFormat="false" ht="21.7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F3:F200" type="list">
      <formula1>"No,Yes - Positive,Yes - Negative,Yes - Need More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30" hidden="false" customHeight="true" outlineLevel="0" collapsed="false">
      <c r="A1" s="21" t="s">
        <v>182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11" t="s">
        <v>27</v>
      </c>
      <c r="B2" s="11" t="s">
        <v>10</v>
      </c>
      <c r="C2" s="11" t="s">
        <v>183</v>
      </c>
      <c r="D2" s="11" t="s">
        <v>184</v>
      </c>
      <c r="E2" s="11" t="s">
        <v>185</v>
      </c>
      <c r="F2" s="11" t="s">
        <v>186</v>
      </c>
      <c r="G2" s="11" t="s">
        <v>187</v>
      </c>
      <c r="H2" s="11" t="s">
        <v>188</v>
      </c>
      <c r="I2" s="11" t="s">
        <v>37</v>
      </c>
    </row>
    <row r="3" customFormat="false" ht="24" hidden="fals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</row>
    <row r="4" customFormat="false" ht="24" hidden="false" customHeight="true" outlineLevel="0" collapsed="false">
      <c r="A4" s="22"/>
      <c r="B4" s="22"/>
      <c r="C4" s="22"/>
      <c r="D4" s="22"/>
      <c r="E4" s="22"/>
      <c r="F4" s="22"/>
      <c r="G4" s="22"/>
      <c r="H4" s="22"/>
      <c r="I4" s="22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22"/>
      <c r="B6" s="22"/>
      <c r="C6" s="22"/>
      <c r="D6" s="22"/>
      <c r="E6" s="22"/>
      <c r="F6" s="22"/>
      <c r="G6" s="22"/>
      <c r="H6" s="22"/>
      <c r="I6" s="22"/>
    </row>
    <row r="7" customFormat="false" ht="24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24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</row>
    <row r="9" customFormat="false" ht="24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24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24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</row>
    <row r="13" customFormat="false" ht="24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24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4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</row>
    <row r="17" customFormat="false" ht="24" hidden="false" customHeight="tru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24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24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24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4" customFormat="false" ht="24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</row>
    <row r="26" customFormat="false" ht="24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</row>
    <row r="28" customFormat="false" ht="24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</row>
    <row r="29" customFormat="false" ht="24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</row>
    <row r="30" customFormat="false" ht="24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</row>
    <row r="31" customFormat="false" ht="24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</row>
    <row r="32" customFormat="false" ht="24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2026-05-21T12:06:16Z</dcterms:created>
  <dc:creator>openpyxl</dc:creator>
  <dc:description/>
  <dc:language>en-US</dc:language>
  <cp:lastModifiedBy/>
  <dcterms:modified xsi:type="dcterms:W3CDTF">2026-05-21T12:06:16Z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